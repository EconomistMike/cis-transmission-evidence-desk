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licy Paper Chart" sheetId="1" state="visible" r:id="rId1"/>
    <sheet name="Chart Review" sheetId="2" state="visible" r:id="rId2"/>
    <sheet name="Projects" sheetId="3" state="visible" r:id="rId3"/>
    <sheet name="Observations" sheetId="4" state="visible" r:id="rId4"/>
    <sheet name="Components" sheetId="5" state="visible" r:id="rId5"/>
    <sheet name="Timeline" sheetId="6" state="visible" r:id="rId6"/>
    <sheet name="Sources" sheetId="7" state="visible" r:id="rId7"/>
    <sheet name="Warning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FFFFFF"/>
      <sz val="22"/>
    </font>
    <font>
      <name val="Aptos"/>
      <i val="1"/>
      <color rgb="0065736F"/>
      <sz val="10"/>
    </font>
    <font>
      <name val="Aptos"/>
      <b val="1"/>
      <color rgb="00FFFFFF"/>
    </font>
    <font>
      <name val="Aptos"/>
      <color rgb="0017312E"/>
      <sz val="10"/>
    </font>
    <font>
      <name val="Calibri"/>
      <family val="2"/>
      <color theme="10"/>
      <sz val="12"/>
      <scheme val="minor"/>
    </font>
  </fonts>
  <fills count="6">
    <fill>
      <patternFill/>
    </fill>
    <fill>
      <patternFill patternType="gray125"/>
    </fill>
    <fill>
      <patternFill patternType="solid">
        <fgColor rgb="0017312E"/>
      </patternFill>
    </fill>
    <fill>
      <patternFill patternType="solid">
        <fgColor rgb="00F4F0E6"/>
      </patternFill>
    </fill>
    <fill>
      <patternFill patternType="solid">
        <fgColor rgb="00FFF0D3"/>
      </patternFill>
    </fill>
    <fill>
      <patternFill patternType="solid">
        <fgColor rgb="00F8DFDA"/>
      </patternFill>
    </fill>
  </fills>
  <borders count="2">
    <border>
      <left/>
      <right/>
      <top/>
      <bottom/>
      <diagonal/>
    </border>
    <border>
      <bottom style="thin">
        <color rgb="00D8D0C1"/>
      </bottom>
    </border>
  </borders>
  <cellStyleXfs count="2">
    <xf numFmtId="0" fontId="0" fillId="0" borderId="0"/>
    <xf numFmtId="0" fontId="5" fillId="0" borderId="0"/>
  </cellStyleXfs>
  <cellXfs count="8">
    <xf numFmtId="0" fontId="0" fillId="0" borderId="0" pivotButton="0" quotePrefix="0" xfId="0"/>
    <xf numFmtId="0" fontId="1" fillId="2" borderId="0" applyAlignment="1" pivotButton="0" quotePrefix="0" xfId="0">
      <alignment vertical="center"/>
    </xf>
    <xf numFmtId="0" fontId="2" fillId="3"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PolicyPaperChart" displayName="PolicyPaperChart" ref="A4:Y14" headerRowCount="1">
  <autoFilter ref="A4:Y14"/>
  <tableColumns count="25">
    <tableColumn id="1" name="Project"/>
    <tableColumn id="2" name="Date"/>
    <tableColumn id="3" name="Cost ($ AUD billion)"/>
    <tableColumn id="4" name="Network Capacity (GW)"/>
    <tableColumn id="5" name="Trunk (km)"/>
    <tableColumn id="6" name="Millions/trunk KM"/>
    <tableColumn id="7" name="Circuits"/>
    <tableColumn id="8" name="Lines"/>
    <tableColumn id="9" name="Alt Routes"/>
    <tableColumn id="10" name="Syncons (MVA)"/>
    <tableColumn id="11" name="Hubs"/>
    <tableColumn id="12" name="Transformers"/>
    <tableColumn id="13" name="Feeder lines (km)"/>
    <tableColumn id="14" name="Notes / Sources"/>
    <tableColumn id="15" name="Overall status"/>
    <tableColumn id="16" name="Estimate date"/>
    <tableColumn id="17" name="Price basis"/>
    <tableColumn id="18" name="Estimate class"/>
    <tableColumn id="19" name="Uncertainty"/>
    <tableColumn id="20" name="Delivery status"/>
    <tableColumn id="21" name="Owner and pathway"/>
    <tableColumn id="22" name="Cost boundary"/>
    <tableColumn id="23" name="Trunk voltage"/>
    <tableColumn id="24" name="Earliest comparable estimate"/>
    <tableColumn id="25" name="Dependent projects"/>
  </tableColumns>
  <tableStyleInfo name="TableStyleMedium2" showFirstColumn="0" showLastColumn="0" showRowStripes="1"/>
</table>
</file>

<file path=xl/tables/table2.xml><?xml version="1.0" encoding="utf-8"?>
<table xmlns="http://schemas.openxmlformats.org/spreadsheetml/2006/main" id="2" name="ChartReview" displayName="ChartReview" ref="A4:J124" headerRowCount="1">
  <autoFilter ref="A4:J124"/>
  <tableColumns count="10">
    <tableColumn id="1" name="Family"/>
    <tableColumn id="2" name="Chart row"/>
    <tableColumn id="3" name="Field"/>
    <tableColumn id="4" name="Original value"/>
    <tableColumn id="5" name="Evidence status"/>
    <tableColumn id="6" name="Supported value"/>
    <tableColumn id="7" name="Evidence finding"/>
    <tableColumn id="8" name="Source IDs"/>
    <tableColumn id="9" name="Pages"/>
    <tableColumn id="10" name="Selected observation"/>
  </tableColumns>
  <tableStyleInfo name="TableStyleMedium2" showFirstColumn="0" showLastColumn="0" showRowStripes="1"/>
</table>
</file>

<file path=xl/tables/table3.xml><?xml version="1.0" encoding="utf-8"?>
<table xmlns="http://schemas.openxmlformats.org/spreadsheetml/2006/main" id="3" name="Projects" displayName="Projects" ref="A4:P14" headerRowCount="1">
  <autoFilter ref="A4:P14"/>
  <tableColumns count="16">
    <tableColumn id="1" name="Family slug"/>
    <tableColumn id="2" name="Project ID"/>
    <tableColumn id="3" name="Name"/>
    <tableColumn id="4" name="Identity"/>
    <tableColumn id="5" name="Current status"/>
    <tableColumn id="6" name="Delivery status"/>
    <tableColumn id="7" name="Owner"/>
    <tableColumn id="8" name="Funding pathway"/>
    <tableColumn id="9" name="Capacity"/>
    <tableColumn id="10" name="Schedule"/>
    <tableColumn id="11" name="Trunk voltage (kV)"/>
    <tableColumn id="12" name="Completion date"/>
    <tableColumn id="13" name="Dependent projects"/>
    <tableColumn id="14" name="Analysis conclusion"/>
    <tableColumn id="15" name="Chart overall status"/>
    <tableColumn id="16" name="Pack contents"/>
  </tableColumns>
  <tableStyleInfo name="TableStyleMedium2" showFirstColumn="0" showLastColumn="0" showRowStripes="1"/>
</table>
</file>

<file path=xl/tables/table4.xml><?xml version="1.0" encoding="utf-8"?>
<table xmlns="http://schemas.openxmlformats.org/spreadsheetml/2006/main" id="4" name="Observations" displayName="Observations" ref="A4:S483" headerRowCount="1">
  <autoFilter ref="A4:S483"/>
  <tableColumns count="19">
    <tableColumn id="1" name="Family"/>
    <tableColumn id="2" name="Project ID"/>
    <tableColumn id="3" name="Observation ID"/>
    <tableColumn id="4" name="Measure"/>
    <tableColumn id="5" name="Date"/>
    <tableColumn id="6" name="Label"/>
    <tableColumn id="7" name="Value"/>
    <tableColumn id="8" name="Unit"/>
    <tableColumn id="9" name="Price basis"/>
    <tableColumn id="10" name="Estimate class"/>
    <tableColumn id="11" name="Uncertainty"/>
    <tableColumn id="12" name="Status"/>
    <tableColumn id="13" name="Boundary"/>
    <tableColumn id="14" name="Comparability"/>
    <tableColumn id="15" name="Source ID"/>
    <tableColumn id="16" name="Pages"/>
    <tableColumn id="17" name="Excerpt"/>
    <tableColumn id="18" name="Selected"/>
    <tableColumn id="19" name="Notes"/>
  </tableColumns>
  <tableStyleInfo name="TableStyleMedium2" showFirstColumn="0" showLastColumn="0" showRowStripes="1"/>
</table>
</file>

<file path=xl/tables/table5.xml><?xml version="1.0" encoding="utf-8"?>
<table xmlns="http://schemas.openxmlformats.org/spreadsheetml/2006/main" id="5" name="Components" displayName="Components" ref="A4:H103" headerRowCount="1">
  <autoFilter ref="A4:H103"/>
  <tableColumns count="8">
    <tableColumn id="1" name="Family"/>
    <tableColumn id="2" name="Component ID"/>
    <tableColumn id="3" name="Stage"/>
    <tableColumn id="4" name="Category"/>
    <tableColumn id="5" name="Description"/>
    <tableColumn id="6" name="Boundary"/>
    <tableColumn id="7" name="Source ID"/>
    <tableColumn id="8" name="Pages"/>
  </tableColumns>
  <tableStyleInfo name="TableStyleMedium2" showFirstColumn="0" showLastColumn="0" showRowStripes="1"/>
</table>
</file>

<file path=xl/tables/table6.xml><?xml version="1.0" encoding="utf-8"?>
<table xmlns="http://schemas.openxmlformats.org/spreadsheetml/2006/main" id="6" name="Timeline" displayName="Timeline" ref="A4:G142" headerRowCount="1">
  <autoFilter ref="A4:G142"/>
  <tableColumns count="7">
    <tableColumn id="1" name="Family"/>
    <tableColumn id="2" name="Date"/>
    <tableColumn id="3" name="Event"/>
    <tableColumn id="4" name="Status"/>
    <tableColumn id="5" name="Detail"/>
    <tableColumn id="6" name="Source ID"/>
    <tableColumn id="7" name="Pages"/>
  </tableColumns>
  <tableStyleInfo name="TableStyleMedium2" showFirstColumn="0" showLastColumn="0" showRowStripes="1"/>
</table>
</file>

<file path=xl/tables/table7.xml><?xml version="1.0" encoding="utf-8"?>
<table xmlns="http://schemas.openxmlformats.org/spreadsheetml/2006/main" id="7" name="Sources" displayName="Sources" ref="A4:K97" headerRowCount="1">
  <autoFilter ref="A4:K97"/>
  <tableColumns count="11">
    <tableColumn id="1" name="Source ID"/>
    <tableColumn id="2" name="Cited by"/>
    <tableColumn id="3" name="Publisher"/>
    <tableColumn id="4" name="Title"/>
    <tableColumn id="5" name="Publication date"/>
    <tableColumn id="6" name="Document type"/>
    <tableColumn id="7" name="Original URL"/>
    <tableColumn id="8" name="Archive path"/>
    <tableColumn id="9" name="Derivative path"/>
    <tableColumn id="10" name="SHA-256"/>
    <tableColumn id="11" name="Hash"/>
  </tableColumns>
  <tableStyleInfo name="TableStyleMedium2" showFirstColumn="0" showLastColumn="0" showRowStripes="1"/>
</table>
</file>

<file path=xl/tables/table8.xml><?xml version="1.0" encoding="utf-8"?>
<table xmlns="http://schemas.openxmlformats.org/spreadsheetml/2006/main" id="8" name="Warnings" displayName="Warnings" ref="A4:G154" headerRowCount="1">
  <autoFilter ref="A4:G154"/>
  <tableColumns count="7">
    <tableColumn id="1" name="Family"/>
    <tableColumn id="2" name="Severity"/>
    <tableColumn id="3" name="Code"/>
    <tableColumn id="4" name="Finding"/>
    <tableColumn id="5" name="Implication"/>
    <tableColumn id="6" name="Source IDs"/>
    <tableColumn id="7" name="Pinpoint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hyperlink" Target="https://www.energyco.nsw.gov.au/225-million-south-west-rez-investment-secure-nsw-energy-future" TargetMode="External" Id="rId1" /><Relationship Type="http://schemas.openxmlformats.org/officeDocument/2006/relationships/hyperlink" Target="https://www.aemo.com.au/-/media/files/major-publications/isp/2020/appendix--3.pdf" TargetMode="External" Id="rId2" /><Relationship Type="http://schemas.openxmlformats.org/officeDocument/2006/relationships/hyperlink" Target="https://www.energyco.nsw.gov.au/sites/default/files/2025-06/central-west-orana-rez-declaration-order-november-2021.pdf" TargetMode="External" Id="rId3" /><Relationship Type="http://schemas.openxmlformats.org/officeDocument/2006/relationships/hyperlink" Target="https://www.energyco.nsw.gov.au/sites/default/files/2023-05/network-infrastructure-strategy.pdf" TargetMode="External" Id="rId4" /><Relationship Type="http://schemas.openxmlformats.org/officeDocument/2006/relationships/hyperlink" Target="https://www.energyco.nsw.gov.au/sites/default/files/2023-05/appendix-b-network-infrastructure-strategy.pdf" TargetMode="External" Id="rId5" /><Relationship Type="http://schemas.openxmlformats.org/officeDocument/2006/relationships/hyperlink" Target="https://gazette.nsw.gov.au/gazette/2023/12/2023-580.pdf" TargetMode="External" Id="rId6" /><Relationship Type="http://schemas.openxmlformats.org/officeDocument/2006/relationships/hyperlink" Target="https://gazette.nsw.gov.au/gazette/2024/4/2024-116.pdf" TargetMode="External" Id="rId7" /><Relationship Type="http://schemas.openxmlformats.org/officeDocument/2006/relationships/hyperlink" Target="https://gazette.nsw.gov.au/gazette/2024/4/2024-137.pdf" TargetMode="External" Id="rId8" /><Relationship Type="http://schemas.openxmlformats.org/officeDocument/2006/relationships/hyperlink" Target="https://www.energyco.nsw.gov.au/sites/default/files/2025-06/cwo-rez-public-report-infrastructure-planner-recommendation-may-2024.pdf" TargetMode="External" Id="rId9" /><Relationship Type="http://schemas.openxmlformats.org/officeDocument/2006/relationships/hyperlink" Target="https://asl.org.au/-/media/services/files/publications/authorisation-function/cwo/notice-of-authorisation-cwo-main.pdf" TargetMode="External" Id="rId10" /><Relationship Type="http://schemas.openxmlformats.org/officeDocument/2006/relationships/hyperlink" Target="https://asl.org.au/-/media/services/files/publications/authorisation-function/cwo/notice-of-authorisation-cwo-enabling.pdf" TargetMode="External" Id="rId11" /><Relationship Type="http://schemas.openxmlformats.org/officeDocument/2006/relationships/hyperlink" Target="https://www.aer.gov.au/system/files/2025-04/CWO%20REZ%20network%20project%20revenue%20determination.pdf" TargetMode="External" Id="rId12" /><Relationship Type="http://schemas.openxmlformats.org/officeDocument/2006/relationships/hyperlink" Target="https://asl.org.au/-/media/services/files/products/rez/cwo/250508-cwo-rez-statement-of-reasons-document-published-08052025.pdf" TargetMode="External" Id="rId13" /><Relationship Type="http://schemas.openxmlformats.org/officeDocument/2006/relationships/hyperlink" Target="https://asl.org.au/-/media/services/files/products/rez/cwo/16042025-cwo-access-fee-determination-liverpool-range-stage-1-redacted.pdf" TargetMode="External" Id="rId14" /><Relationship Type="http://schemas.openxmlformats.org/officeDocument/2006/relationships/hyperlink" Target="https://asl.org.au/-/media/services/files/products/rez/cwo/16042025-cwo-access-fee-determination-liverpool-range-stage-2-redacted.pdf" TargetMode="External" Id="rId15" /><Relationship Type="http://schemas.openxmlformats.org/officeDocument/2006/relationships/hyperlink" Target="https://www.energyco.nsw.gov.au/sites/default/files/2025-01/2025_Transfer%20Capacity%20Determination%20for%20the%20CWO%20REZ.pdf" TargetMode="External" Id="rId16" /><Relationship Type="http://schemas.openxmlformats.org/officeDocument/2006/relationships/hyperlink" Target="https://www.energyco.nsw.gov.au/sites/default/files/2025-01/20251601_Central-West%20Orana%20Renewable%20Energy%20Zone%20Final%20Headroom%20Decision.pdf" TargetMode="External" Id="rId17" /><Relationship Type="http://schemas.openxmlformats.org/officeDocument/2006/relationships/hyperlink" Target="https://www.aer.gov.au/system/files/2025-08/CWO%20REZ%20network%20project%20-%20remade%20revenue%20determination%20-%20summary%20report.pdf" TargetMode="External" Id="rId18" /><Relationship Type="http://schemas.openxmlformats.org/officeDocument/2006/relationships/hyperlink" Target="https://asl.org.au/-/media/services/files/publications/authorisation-function/cwo/letter-to-energyco-to-approve-barigan-creek-transfer.pdf" TargetMode="External" Id="rId19" /><Relationship Type="http://schemas.openxmlformats.org/officeDocument/2006/relationships/hyperlink" Target="https://gazette.nsw.gov.au/gazette/2025/11/2025-11_480-gazette.pdf" TargetMode="External" Id="rId20" /><Relationship Type="http://schemas.openxmlformats.org/officeDocument/2006/relationships/hyperlink" Target="https://www.aer.gov.au/system/files/2026-04/AER%20%E2%80%93%20Final%20decision%20%E2%80%93%20Transgrid%20%E2%80%93%20Central-West%20Orana%20Enabling%20REZ%20non-contestable%20project%202026%E2%80%9331%20%E2%80%93%20January%202026_1.pdf" TargetMode="External" Id="rId21" /><Relationship Type="http://schemas.openxmlformats.org/officeDocument/2006/relationships/hyperlink" Target="https://www.aemo.com.au/-/media/files/major-publications/isp/2026/appendices/a5-network-investments.pdf" TargetMode="External" Id="rId22" /><Relationship Type="http://schemas.openxmlformats.org/officeDocument/2006/relationships/hyperlink" Target="https://asl.org.au/-/media/services/files/publications/authorisation-function/cwo/statement-of-reasons-cwo-main.pdf" TargetMode="External" Id="rId23" /><Relationship Type="http://schemas.openxmlformats.org/officeDocument/2006/relationships/hyperlink" Target="https://www.transgrid.com.au/media/kfhd21bq/250812-transgrid-system-strength-pacr.pdf" TargetMode="External" Id="rId24" /><Relationship Type="http://schemas.openxmlformats.org/officeDocument/2006/relationships/hyperlink" Target="https://gazette.nsw.gov.au/gazette/2022/12/2022-591.pdf" TargetMode="External" Id="rId25" /><Relationship Type="http://schemas.openxmlformats.org/officeDocument/2006/relationships/hyperlink" Target="https://www.acerez.com.au/the-project" TargetMode="External" Id="rId26" /><Relationship Type="http://schemas.openxmlformats.org/officeDocument/2006/relationships/hyperlink" Target="https://www.energyco.nsw.gov.au/sites/default/files/2024-12/Consolidated%20Approval.pdf" TargetMode="External" Id="rId27" /><Relationship Type="http://schemas.openxmlformats.org/officeDocument/2006/relationships/hyperlink" Target="https://www.aer.gov.au/system/files/2025-12/AER%20%E2%80%93%20Final%20decision%20%E2%80%93%20Ausgrid%20%E2%80%93%20Hunter-Central%20Coast%20REZ%20non-contestable%20project%202026%E2%80%9331%20%E2%80%93%20December%202025_0.pdf" TargetMode="External" Id="rId28" /><Relationship Type="http://schemas.openxmlformats.org/officeDocument/2006/relationships/hyperlink" Target="https://www.energyco.nsw.gov.au/our-projects/hunter-transmission-project/transmission-infrastructure" TargetMode="External" Id="rId29" /><Relationship Type="http://schemas.openxmlformats.org/officeDocument/2006/relationships/hyperlink" Target="https://www.energyco.nsw.gov.au/our-projects/hunter-transmission-project" TargetMode="External" Id="rId30" /><Relationship Type="http://schemas.openxmlformats.org/officeDocument/2006/relationships/hyperlink" Target="https://gazette.nsw.gov.au/gazette/2022/12/2022-569.pdf" TargetMode="External" Id="rId31" /><Relationship Type="http://schemas.openxmlformats.org/officeDocument/2006/relationships/hyperlink" Target="https://www.aemo.com.au/-/media/files/electricity/nem/planning_and_forecasting/isp/2018/integrated-system-plan-2018_final.pdf" TargetMode="External" Id="rId32" /><Relationship Type="http://schemas.openxmlformats.org/officeDocument/2006/relationships/hyperlink" Target="https://www.aemo.com.au/-/media/files/electricity/nem/planning_and_forecasting/isp/2018/isp-appendices_final.pdf" TargetMode="External" Id="rId33" /><Relationship Type="http://schemas.openxmlformats.org/officeDocument/2006/relationships/hyperlink" Target="https://www.aemo.com.au/-/media/files/major-publications/isp/2020/final-2020-integrated-system-plan.pdf" TargetMode="External" Id="rId34" /><Relationship Type="http://schemas.openxmlformats.org/officeDocument/2006/relationships/hyperlink" Target="https://www.aemo.com.au/-/media/files/major-publications/isp/2020/appendix--3.pdf" TargetMode="External" Id="rId35" /><Relationship Type="http://schemas.openxmlformats.org/officeDocument/2006/relationships/hyperlink" Target="https://aemo.com.au/-/media/files/major-publications/isp/2022/isp-feedback-loop-notice-humelink-early-works.pdf" TargetMode="External" Id="rId36" /><Relationship Type="http://schemas.openxmlformats.org/officeDocument/2006/relationships/hyperlink" Target="https://aemo.com.au/-/media/files/major-publications/isp/2022/2022-documents/2022-integrated-system-plan-isp.pdf" TargetMode="External" Id="rId37" /><Relationship Type="http://schemas.openxmlformats.org/officeDocument/2006/relationships/hyperlink" Target="https://aemo.com.au/-/media/files/major-publications/isp/2023/20230511-integrated-system-plan-feedback-loop-notice--humelink-early-works.pdf" TargetMode="External" Id="rId38" /><Relationship Type="http://schemas.openxmlformats.org/officeDocument/2006/relationships/hyperlink" Target="https://www.aemo.com.au/-/media/files/major-publications/isp/2023/integrated-system-plan-feedback-loop-notice---humelink.pdf" TargetMode="External" Id="rId39" /><Relationship Type="http://schemas.openxmlformats.org/officeDocument/2006/relationships/hyperlink" Target="https://www.aemo.com.au/-/media/files/major-publications/isp/2024/integrated-system-plan-feedback-loop-notice-humelink.pdf" TargetMode="External" Id="rId40" /><Relationship Type="http://schemas.openxmlformats.org/officeDocument/2006/relationships/hyperlink" Target="https://www.aemo.com.au/-/media/files/major-publications/isp/2024/appendices/a5-network-investments.pdf" TargetMode="External" Id="rId41" /><Relationship Type="http://schemas.openxmlformats.org/officeDocument/2006/relationships/hyperlink" Target="https://www.aemo.com.au/-/media/files/major-publications/isp/2026/appendices/a5-network-investments.pdf" TargetMode="External" Id="rId42" /><Relationship Type="http://schemas.openxmlformats.org/officeDocument/2006/relationships/hyperlink" Target="https://www.aer.gov.au/system/files/AER-%20Determination%20on%20RIT-T%20dispute%20-%20TransGrid%20-Humelink-24%20November%202021_1.pdf" TargetMode="External" Id="rId43" /><Relationship Type="http://schemas.openxmlformats.org/officeDocument/2006/relationships/hyperlink" Target="https://www.aer.gov.au/system/files/AER%20-%20Determination%20-%20HumeLink%20-%20August%202022.pdf" TargetMode="External" Id="rId44" /><Relationship Type="http://schemas.openxmlformats.org/officeDocument/2006/relationships/hyperlink" Target="https://www.aer.gov.au/system/files/2023-09/AER%20-%20Determination%20-%20HumeLink%20Stage%201%20%28part%202%29%20-%20August%202023_0.pdf" TargetMode="External" Id="rId45" /><Relationship Type="http://schemas.openxmlformats.org/officeDocument/2006/relationships/hyperlink" Target="https://www.aer.gov.au/system/files/2024-08/AER%20-%20Determination%20-%20Transgrid%20HumeLink%20Stage%202%20Contingent%20Project%20-%20August%202024.pdf" TargetMode="External" Id="rId46" /><Relationship Type="http://schemas.openxmlformats.org/officeDocument/2006/relationships/hyperlink" Target="https://www.transgrid.com.au/media/wf4pmmx3/assessment-report.pdf" TargetMode="External" Id="rId47" /><Relationship Type="http://schemas.openxmlformats.org/officeDocument/2006/relationships/hyperlink" Target="https://majorprojects.planningportal.nsw.gov.au/prweb/PRRestService/mp/01/getContent?AttachRef=SSI-36656827%2120241114T024041.800+GMT" TargetMode="External" Id="rId48" /><Relationship Type="http://schemas.openxmlformats.org/officeDocument/2006/relationships/hyperlink" Target="https://www.transgrid.com.au/media/chvf0ahp/transgrid-pscr_reinforcing-nsw-southern-shared-network.pdf" TargetMode="External" Id="rId49" /><Relationship Type="http://schemas.openxmlformats.org/officeDocument/2006/relationships/hyperlink" Target="https://www.transgrid.com.au/media/xrzd0jv4/transgrid-hume-link-padr-amended.pdf" TargetMode="External" Id="rId50" /><Relationship Type="http://schemas.openxmlformats.org/officeDocument/2006/relationships/hyperlink" Target="https://www.transgrid.com.au/media/ypel3i24/humelink-newsletter-september-2021.pdf" TargetMode="External" Id="rId51" /><Relationship Type="http://schemas.openxmlformats.org/officeDocument/2006/relationships/hyperlink" Target="https://www.transgrid.com.au/media/rxancvmx/transgrid-humelink-pacr.pdf" TargetMode="External" Id="rId52" /><Relationship Type="http://schemas.openxmlformats.org/officeDocument/2006/relationships/hyperlink" Target="https://www.transgrid.com.au/media/yjzbfi5s/humelink-rit-t-pacr-addendum.pdf" TargetMode="External" Id="rId53" /><Relationship Type="http://schemas.openxmlformats.org/officeDocument/2006/relationships/hyperlink" Target="https://www.aer.gov.au/system/files/TransGrid%20-%20Response%20to%20AER%20information%20request-1%20September%202021.pdf" TargetMode="External" Id="rId54" /><Relationship Type="http://schemas.openxmlformats.org/officeDocument/2006/relationships/hyperlink" Target="https://www.aer.gov.au/system/files/A.2_HumeLink_Scope%20definition_Stage%201%20%28early%20works%29_5%20April%202022_Final_PUBLIC.pdf" TargetMode="External" Id="rId55" /><Relationship Type="http://schemas.openxmlformats.org/officeDocument/2006/relationships/hyperlink" Target="https://www.aer.gov.au/system/files/2024-03/Transgrid%20-%20HumeLink%20CPA%20stage%202%20-%20A.1%20Principal%20Application%20-%2001%20March%202024.pdf" TargetMode="External" Id="rId56" /><Relationship Type="http://schemas.openxmlformats.org/officeDocument/2006/relationships/hyperlink" Target="https://www.transgrid.com.au/media/q4snvvri/humelink-material-change-circumstance-mcc-assessment-report-feb-24.pdf" TargetMode="External" Id="rId57" /><Relationship Type="http://schemas.openxmlformats.org/officeDocument/2006/relationships/hyperlink" Target="https://www.transgrid.com.au/media/adeet5es/humelink-west-quarterly-newsletter-october-2025.pdf" TargetMode="External" Id="rId58" /><Relationship Type="http://schemas.openxmlformats.org/officeDocument/2006/relationships/hyperlink" Target="https://www.aer.gov.au/system/files/Wunelli%20-%20Dispute%20Notice%20under%20Rule%205.16B%20of%20the%20NER%20-%20Humelink%20RIT-T%20-%2016%20August%202021_0.pdf" TargetMode="External" Id="rId59" /><Relationship Type="http://schemas.openxmlformats.org/officeDocument/2006/relationships/hyperlink" Target="https://minister.dcceew.gov.au/bowen/media-releases/joint-media-release-marinus-link-reaches-financial-close-connecting-tasmanias-renewables-world" TargetMode="External" Id="rId60" /><Relationship Type="http://schemas.openxmlformats.org/officeDocument/2006/relationships/hyperlink" Target="https://www.marinuslink.com.au/wp-content/uploads/2024/04/EY-report-Project-Marinus-Gross-Benefits-28-March-2024.pdf" TargetMode="External" Id="rId61" /><Relationship Type="http://schemas.openxmlformats.org/officeDocument/2006/relationships/hyperlink" Target="https://www.marinuslink.com.au/wp-content/uploads/2025/10/Gross-market-benefit-assessment_Marinus-Link_AddendumReport_2025_10_31a.pdf" TargetMode="External" Id="rId62" /><Relationship Type="http://schemas.openxmlformats.org/officeDocument/2006/relationships/hyperlink" Target="https://www.marinuslink.com.au/2025/12/marinus-link-awards-major-contract-for-civils-and-construction/" TargetMode="External" Id="rId63" /><Relationship Type="http://schemas.openxmlformats.org/officeDocument/2006/relationships/hyperlink" Target="https://www.marinuslink.com.au/wp-content/uploads/2021/06/Project-Marinus-RIT-T-PACR.pdf" TargetMode="External" Id="rId64" /><Relationship Type="http://schemas.openxmlformats.org/officeDocument/2006/relationships/hyperlink" Target="https://www.marinuslink.com.au/wp-content/uploads/2025/07/Summary-RIT-T-update-report-July-2025-1.pdf" TargetMode="External" Id="rId65" /><Relationship Type="http://schemas.openxmlformats.org/officeDocument/2006/relationships/hyperlink" Target="https://www.energyco.nsw.gov.au/sites/default/files/2025-11/NE%20REZ_Bulk%20Corridor%20Design%20Refinement%20Report_Nov25.pdf" TargetMode="External" Id="rId66" /><Relationship Type="http://schemas.openxmlformats.org/officeDocument/2006/relationships/hyperlink" Target="https://www.energyco.nsw.gov.au/sites/default/files/2025-08/new-england-rez-generation-and-storage-consultation-paper.pdf" TargetMode="External" Id="rId67" /><Relationship Type="http://schemas.openxmlformats.org/officeDocument/2006/relationships/hyperlink" Target="https://www.energyco.nsw.gov.au/sites/default/files/2026-04/Feedback%20report%20%28April%202026%29.pdf" TargetMode="External" Id="rId68" /><Relationship Type="http://schemas.openxmlformats.org/officeDocument/2006/relationships/hyperlink" Target="https://gazette.nsw.gov.au/gazette/2021/12/2021-643.pdf" TargetMode="External" Id="rId69" /><Relationship Type="http://schemas.openxmlformats.org/officeDocument/2006/relationships/hyperlink" Target="https://www.aer.gov.au/system/files/ElectraNet%20-%20Project%20EnergyConnect%20Contingent%20Project%20Application%20-%2030%20September%202020.pdf" TargetMode="External" Id="rId70" /><Relationship Type="http://schemas.openxmlformats.org/officeDocument/2006/relationships/hyperlink" Target="https://www.aer.gov.au/system/files/TransGrid%20-%20Project%20%20EnergyConnect%20-%20Principal%20Application%20-%2029%20June%202020.pdf" TargetMode="External" Id="rId71" /><Relationship Type="http://schemas.openxmlformats.org/officeDocument/2006/relationships/hyperlink" Target="https://www.aer.gov.au/system/files/AER%20-%20Final%20Decision%20-%20ElectraNet%20-%20Project%20EnergyConnect%20Contingent%20Project%20-%20May%202021.pdf" TargetMode="External" Id="rId72" /><Relationship Type="http://schemas.openxmlformats.org/officeDocument/2006/relationships/hyperlink" Target="https://www.aer.gov.au/system/files/AER%20-%20Final%20Decision%20-%20TransGrid%20-%20Project%20EnergyConnect%20Contingent%20Project%20-%20May%202021.pdf" TargetMode="External" Id="rId73" /><Relationship Type="http://schemas.openxmlformats.org/officeDocument/2006/relationships/hyperlink" Target="https://www.aer.gov.au/system/files/2026-03/Project%20EnergyConnect%20-%20An%20application%20to%20reopen%20the%202023-2028%20Revenue%20Determination%20-%20Transgrid%20-%2020260213%20-%20PUBLIC_0.pdf" TargetMode="External" Id="rId74" /><Relationship Type="http://schemas.openxmlformats.org/officeDocument/2006/relationships/hyperlink" Target="https://www.projectenergyconnect.com.au/" TargetMode="External" Id="rId75" /><Relationship Type="http://schemas.openxmlformats.org/officeDocument/2006/relationships/hyperlink" Target="https://www.aer.gov.au/system/files/2026-03/Attachment%202%20-%20Project%20EnergyConnect%20and%20Contract%20Failure%20-%20Transgrid%20-%2020260213%20-%20PUBLIC_0.pdf" TargetMode="External" Id="rId76" /><Relationship Type="http://schemas.openxmlformats.org/officeDocument/2006/relationships/hyperlink" Target="https://www.transgrid.com.au/media-publications/news-articles/energyconnect-powers-up-as-clean-energy-transition-forges-ahead/" TargetMode="External" Id="rId77" /><Relationship Type="http://schemas.openxmlformats.org/officeDocument/2006/relationships/hyperlink" Target="https://www.transgrid.com.au/projects-innovation/energyconnect/" TargetMode="External" Id="rId78" /><Relationship Type="http://schemas.openxmlformats.org/officeDocument/2006/relationships/hyperlink" Target="https://www.aemo.com.au/-/media/files/major-publications/isp/2023/teor-reference-materials/transgrid--reinforcing-sydney-newcastle-and-wollongong-supply-southern-ring.pdf" TargetMode="External" Id="rId79" /><Relationship Type="http://schemas.openxmlformats.org/officeDocument/2006/relationships/hyperlink" Target="https://www.transgrid.com.au/media/k5jlt3a3/sydney_ring_south_project_padr.pdf" TargetMode="External" Id="rId80" /><Relationship Type="http://schemas.openxmlformats.org/officeDocument/2006/relationships/hyperlink" Target="https://www.transgrid.com.au/projects-innovation/sydney-ring-south/" TargetMode="External" Id="rId81" /><Relationship Type="http://schemas.openxmlformats.org/officeDocument/2006/relationships/hyperlink" Target="https://www.aer.gov.au/system/files/2024-05/AER%20-%20Determination%20-%20Transgrid%20VNI%20West%20Stage%201%20Early%20Works%20Contingent%20Project%20-%20May%202024.pdf" TargetMode="External" Id="rId82" /><Relationship Type="http://schemas.openxmlformats.org/officeDocument/2006/relationships/hyperlink" Target="https://www.energyco.nsw.gov.au/our-projects/south-west-rez/transmission-generation-projects" TargetMode="External" Id="rId83" /><Relationship Type="http://schemas.openxmlformats.org/officeDocument/2006/relationships/hyperlink" Target="https://www.transgrid.com.au/projects-innovation/vni-west/" TargetMode="External" Id="rId84" /><Relationship Type="http://schemas.openxmlformats.org/officeDocument/2006/relationships/hyperlink" Target="https://www.transgrid.com.au/media/p1vdgjuu/vni-west-project-assessment-draft-report-1.pdf" TargetMode="External" Id="rId85" /><Relationship Type="http://schemas.openxmlformats.org/officeDocument/2006/relationships/hyperlink" Target="https://www.transgrid.com.au/media/buedxwfj/vni-west-pacr-volume-1.pdf" TargetMode="External" Id="rId86" /><Relationship Type="http://schemas.openxmlformats.org/officeDocument/2006/relationships/hyperlink" Target="https://www.gazette.vic.gov.au/gazette/Gazettes2023/GG2023S060.pdf" TargetMode="External" Id="rId87" /><Relationship Type="http://schemas.openxmlformats.org/officeDocument/2006/relationships/hyperlink" Target="https://www.gazette.vic.gov.au/gazette/Gazettes2023/GG2023S267.pdf" TargetMode="External" Id="rId88" /><Relationship Type="http://schemas.openxmlformats.org/officeDocument/2006/relationships/hyperlink" Target="https://www.gazette.vic.gov.au/gazette/Gazettes2024/GG2024S605.pdf" TargetMode="External" Id="rId89" /><Relationship Type="http://schemas.openxmlformats.org/officeDocument/2006/relationships/hyperlink" Target="https://www.gazette.vic.gov.au/gazette/Gazettes2025/GG2025S590.pdf" TargetMode="External" Id="rId90" /><Relationship Type="http://schemas.openxmlformats.org/officeDocument/2006/relationships/hyperlink" Target="https://vniwproject.com.au/about-vni-west/project-overview" TargetMode="External" Id="rId91" /><Relationship Type="http://schemas.openxmlformats.org/officeDocument/2006/relationships/hyperlink" Target="https://www.ausnetservices.com.au/news/western-renewables-link-construction-contractor-appointed" TargetMode="External" Id="rId92" /><Relationship Type="http://schemas.openxmlformats.org/officeDocument/2006/relationships/hyperlink" Target="https://www.westernrenewableslink.com.au/" TargetMode="External" Id="rId93" /><Relationship Type="http://schemas.openxmlformats.org/officeDocument/2006/relationships/table" Target="/xl/tables/table7.xml" Id="rId94"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Y14"/>
  <sheetViews>
    <sheetView showGridLines="0" workbookViewId="0">
      <pane ySplit="4" topLeftCell="A5" activePane="bottomLeft" state="frozen"/>
      <selection pane="bottomLeft" activeCell="A1" sqref="A1"/>
    </sheetView>
  </sheetViews>
  <sheetFormatPr baseColWidth="8" defaultRowHeight="15"/>
  <cols>
    <col width="30" customWidth="1" min="1" max="1"/>
    <col width="9" customWidth="1" min="2" max="2"/>
    <col width="20" customWidth="1" min="3" max="3"/>
    <col width="20" customWidth="1" min="4" max="4"/>
    <col width="11" customWidth="1" min="5" max="5"/>
    <col width="17" customWidth="1" min="6" max="6"/>
    <col width="9" customWidth="1" min="7" max="7"/>
    <col width="8" customWidth="1" min="8" max="8"/>
    <col width="10" customWidth="1" min="9" max="9"/>
    <col width="14" customWidth="1" min="10" max="10"/>
    <col width="8" customWidth="1" min="11" max="11"/>
    <col width="14" customWidth="1" min="12" max="12"/>
    <col width="16" customWidth="1" min="13" max="13"/>
    <col width="40" customWidth="1" min="14" max="14"/>
    <col width="60" customWidth="1" min="15" max="15"/>
    <col width="13" customWidth="1" min="16" max="16"/>
    <col width="18" customWidth="1" min="17" max="17"/>
    <col width="14" customWidth="1" min="18" max="18"/>
    <col width="16" customWidth="1" min="19" max="19"/>
    <col width="40" customWidth="1" min="20" max="20"/>
    <col width="60" customWidth="1" min="21" max="21"/>
    <col width="46" customWidth="1" min="22" max="22"/>
    <col width="15" customWidth="1" min="23" max="23"/>
    <col width="34" customWidth="1" min="24" max="24"/>
    <col width="60" customWidth="1" min="25" max="25"/>
  </cols>
  <sheetData>
    <row r="1" ht="38" customHeight="1">
      <c r="A1" s="1" t="inlineStr">
        <is>
          <t>Policy Paper Chart</t>
        </is>
      </c>
    </row>
    <row r="2" ht="26" customHeight="1">
      <c r="A2" s="2" t="inlineStr">
        <is>
          <t>The author's rows exactly as the workbook holds them. Evidence columns are appended beside them, never substituted.</t>
        </is>
      </c>
    </row>
    <row r="4" ht="30" customHeight="1">
      <c r="A4" s="3" t="inlineStr">
        <is>
          <t>Project</t>
        </is>
      </c>
      <c r="B4" s="3" t="inlineStr">
        <is>
          <t>Date</t>
        </is>
      </c>
      <c r="C4" s="3" t="inlineStr">
        <is>
          <t>Cost ($ AUD billion)</t>
        </is>
      </c>
      <c r="D4" s="3" t="inlineStr">
        <is>
          <t>Network Capacity (GW)</t>
        </is>
      </c>
      <c r="E4" s="3" t="inlineStr">
        <is>
          <t>Trunk (km)</t>
        </is>
      </c>
      <c r="F4" s="3" t="inlineStr">
        <is>
          <t>Millions/trunk KM</t>
        </is>
      </c>
      <c r="G4" s="3" t="inlineStr">
        <is>
          <t>Circuits</t>
        </is>
      </c>
      <c r="H4" s="3" t="inlineStr">
        <is>
          <t>Lines</t>
        </is>
      </c>
      <c r="I4" s="3" t="inlineStr">
        <is>
          <t>Alt Routes</t>
        </is>
      </c>
      <c r="J4" s="3" t="inlineStr">
        <is>
          <t>Syncons (MVA)</t>
        </is>
      </c>
      <c r="K4" s="3" t="inlineStr">
        <is>
          <t>Hubs</t>
        </is>
      </c>
      <c r="L4" s="3" t="inlineStr">
        <is>
          <t>Transformers</t>
        </is>
      </c>
      <c r="M4" s="3" t="inlineStr">
        <is>
          <t>Feeder lines (km)</t>
        </is>
      </c>
      <c r="N4" s="3" t="inlineStr">
        <is>
          <t>Notes / Sources</t>
        </is>
      </c>
      <c r="O4" s="3" t="inlineStr">
        <is>
          <t>Overall status</t>
        </is>
      </c>
      <c r="P4" s="3" t="inlineStr">
        <is>
          <t>Estimate date</t>
        </is>
      </c>
      <c r="Q4" s="3" t="inlineStr">
        <is>
          <t>Price basis</t>
        </is>
      </c>
      <c r="R4" s="3" t="inlineStr">
        <is>
          <t>Estimate class</t>
        </is>
      </c>
      <c r="S4" s="3" t="inlineStr">
        <is>
          <t>Uncertainty</t>
        </is>
      </c>
      <c r="T4" s="3" t="inlineStr">
        <is>
          <t>Delivery status</t>
        </is>
      </c>
      <c r="U4" s="3" t="inlineStr">
        <is>
          <t>Owner and pathway</t>
        </is>
      </c>
      <c r="V4" s="3" t="inlineStr">
        <is>
          <t>Cost boundary</t>
        </is>
      </c>
      <c r="W4" s="3" t="inlineStr">
        <is>
          <t>Trunk voltage</t>
        </is>
      </c>
      <c r="X4" s="3" t="inlineStr">
        <is>
          <t>Earliest comparable estimate</t>
        </is>
      </c>
      <c r="Y4" s="3" t="inlineStr">
        <is>
          <t>Dependent projects</t>
        </is>
      </c>
    </row>
    <row r="5">
      <c r="A5" s="4" t="inlineStr">
        <is>
          <t>Central West Orana REZ</t>
        </is>
      </c>
      <c r="B5" s="4" t="n">
        <v>2029</v>
      </c>
      <c r="C5" s="4">
        <f>5.526+0.406+0.855</f>
        <v/>
      </c>
      <c r="D5" s="4" t="n">
        <v>6</v>
      </c>
      <c r="E5" s="4" t="n">
        <v>90</v>
      </c>
      <c r="F5" s="4">
        <f>C5/E5 *1000</f>
        <v/>
      </c>
      <c r="G5" s="4" t="n">
        <v>4</v>
      </c>
      <c r="H5" s="4" t="n">
        <v>2</v>
      </c>
      <c r="I5" s="4" t="n">
        <v>0</v>
      </c>
      <c r="J5" s="4" t="n">
        <v>1750</v>
      </c>
      <c r="K5" s="4" t="n">
        <v>3</v>
      </c>
      <c r="L5" s="4" t="n">
        <v>15000</v>
      </c>
      <c r="M5" s="4" t="n">
        <v>150</v>
      </c>
      <c r="N5" s="4" t="inlineStr">
        <is>
          <t>hubs and transformers from 2026 ISP A5 including Extension. (Merotherie A and B). Feeder lines estimate from Descriptions in Project scope NSW Government</t>
        </is>
      </c>
      <c r="O5" s="5" t="inlineStr">
        <is>
          <t>Publishable only with corrections: the cost and millions-per-trunk-km cells are non-additive author aggregates, the date cell is contradicted by every archived timing, and the hubs, circuits, transformers and alt-routes cells are author derivations or judgments rather than sourced values.</t>
        </is>
      </c>
      <c r="P5" s="5" t="inlineStr">
        <is>
          <t>2025-06</t>
        </is>
      </c>
      <c r="Q5" s="5" t="inlineStr">
        <is>
          <t>Nominal</t>
        </is>
      </c>
      <c r="R5" s="5" t="n"/>
      <c r="S5" s="5" t="inlineStr">
        <is>
          <t>Subject to 29 adjustment mechanisms and five-yearly remakes</t>
        </is>
      </c>
      <c r="T5" s="5" t="inlineStr">
        <is>
          <t>Main: committed, under construction, post financial close, subject to 29 adjustment mechanisms and five-yearly remakes. Enabling: determined for 2026-31, excluding Barigan Creek incremental expenditure. Expansion: actionable, no proponent authorisation or determination observed.</t>
        </is>
      </c>
      <c r="U5" s="5" t="inlineStr">
        <is>
          <t>ACEREZ Partnership (Acciona, Cobra and Endeavour Energy) for the Main project for 35 years from financial close; Transgrid for the Enabling project and, after transfer, for the Barigan Creek Switching Station; EnergyCo NSW as infrastructure planner. · NSW Electricity Infrastructure Investment Act 2020: EnergyCo recommendation, Consumer Trustee authorisation and AER revenue determination for consumer-funded amounts; access right holders fund hub-to-project and centralised system strength through per-connection access fees; a CEFC loan supports land and biodiversity costs that are ultimately recovered from consumers.</t>
        </is>
      </c>
      <c r="V5" s="5" t="inlineStr">
        <is>
          <t>Main CWO REZ network project only: NER-equivalent development and construction capital cost, consumer-funded. Excludes access-fee-funded H2P and centralised system strength, capitalised interest and finance fees; the total determined development and construction capital cost is not published</t>
        </is>
      </c>
      <c r="W5" s="5" t="n">
        <v>500</v>
      </c>
      <c r="X5" s="5" t="inlineStr">
        <is>
          <t>450 AUD million (2020-07, price basis not stated)</t>
        </is>
      </c>
      <c r="Y5" s="5" t="inlineStr">
        <is>
          <t>Hunter Transmission Project (CNSW-SNW Option 1) is a prerequisite once the REZ exceeds 3 GW; the Expansion is a prerequisite-dependent follow-on to the committed Main project; the Enabling project enables the Main project's connection to the shared network.</t>
        </is>
      </c>
    </row>
    <row r="6">
      <c r="A6" s="4" t="inlineStr">
        <is>
          <t>New England REZ</t>
        </is>
      </c>
      <c r="B6" s="4" t="n">
        <v>2034</v>
      </c>
      <c r="C6" s="4">
        <f>2.241+1.09+2.583</f>
        <v/>
      </c>
      <c r="D6" s="4" t="n">
        <v>8</v>
      </c>
      <c r="E6" s="4" t="n">
        <v>305</v>
      </c>
      <c r="F6" s="4">
        <f>C6/E6 *1000</f>
        <v/>
      </c>
      <c r="G6" s="4" t="n">
        <v>4</v>
      </c>
      <c r="H6" s="4" t="n">
        <v>2</v>
      </c>
      <c r="I6" s="4" t="n">
        <v>0</v>
      </c>
      <c r="J6" s="4" t="n">
        <v>0</v>
      </c>
      <c r="K6" s="4" t="n">
        <v>5</v>
      </c>
      <c r="L6" s="4">
        <f>7*1500</f>
        <v/>
      </c>
      <c r="M6" s="4" t="n">
        <v>0</v>
      </c>
      <c r="N6" s="4" t="n"/>
      <c r="O6" s="5" t="inlineStr">
        <is>
          <t>Date, capacity, trunk length, lines and hubs resolve to archived sources (the 2026 ISP, EnergyCo's 2025 consultation paper, the Bulk Corridor Design Refinement Report and the 2021 declaration gazette) with boundary caveats, circuits and the transformer total are clean derivations of archived line items, but the cost, syncons and feeder cells still have no archived support, so the row should not be published as-is.</t>
        </is>
      </c>
      <c r="P6" s="5" t="inlineStr">
        <is>
          <t>2023-05</t>
        </is>
      </c>
      <c r="Q6" s="5" t="n"/>
      <c r="R6" s="5" t="n"/>
      <c r="S6" s="5" t="n"/>
      <c r="T6" s="5" t="inlineStr">
        <is>
          <t>Anticipated (AEMO 2026 ISP). Not committed; no construction contract or outturn cost captured.</t>
        </is>
      </c>
      <c r="U6" s="5" t="inlineStr">
        <is>
          <t>EnergyCo NSW is the infrastructure planner responsible for coordinating development of the REZ; a network operator to design, build, finance, operate and maintain the infrastructure is still being competitively procured. · Electricity Infrastructure Investment Act 2020 (NSW); actionable/anticipated New South Wales project outside the ISP RIT-T framework. A development finance entity procurement has commenced. No AER revenue determination or authorisation was captured.</t>
        </is>
      </c>
      <c r="V6" s="5" t="inlineStr">
        <is>
          <t>All Deliver Now options across Central-West Orana, New England, South West and Hunter-Central Coast combined, not New England alone</t>
        </is>
      </c>
      <c r="W6" s="5" t="inlineStr">
        <is>
          <t>500 kV and 330 kV: 500 kV double-circuit steel tower lines between Central A, Central B, Central South and Bayswater South, plus 330 kV double-circuit lines to East, and a 500 kV built / 330 kV operated line to North.</t>
        </is>
      </c>
      <c r="X6" s="5" t="inlineStr">
        <is>
          <t>1900 AUD million (2022-06, price basis not stated)</t>
        </is>
      </c>
      <c r="Y6" s="5" t="inlineStr">
        <is>
          <t>Hunter Transmission Project (CNSW-SNW Option 1) as the downstream flow path; QNI Connect (NNSW-SQ Option 2, a future ISP project) states the New England REZ Network Infrastructure Project as a pre-requisite. No scope or cost is transferred between them.</t>
        </is>
      </c>
    </row>
    <row r="7">
      <c r="A7" s="4" t="inlineStr">
        <is>
          <t>Hunter Transmission Project</t>
        </is>
      </c>
      <c r="B7" s="4" t="n">
        <v>2029</v>
      </c>
      <c r="C7" s="4" t="n">
        <v>1.36</v>
      </c>
      <c r="D7" s="4" t="n">
        <v>5</v>
      </c>
      <c r="E7" s="4" t="n">
        <v>110</v>
      </c>
      <c r="F7" s="4">
        <f>C7/E7 *1000</f>
        <v/>
      </c>
      <c r="G7" s="4" t="n">
        <v>2</v>
      </c>
      <c r="H7" s="4" t="n">
        <v>1</v>
      </c>
      <c r="I7" s="4" t="n">
        <v>1</v>
      </c>
      <c r="J7" s="4" t="n">
        <v>0</v>
      </c>
      <c r="K7" s="4" t="n">
        <v>0</v>
      </c>
      <c r="L7" s="4" t="n">
        <v>3000</v>
      </c>
      <c r="M7" s="4" t="n">
        <v>0</v>
      </c>
      <c r="N7" s="4" t="n"/>
      <c r="O7" s="5" t="inlineStr">
        <is>
          <t>Cost, capacity, circuits, lines, transformers, date and trunk km (now with EnergyCo web captures) resolve to archived wording, and the millions-per-trunk-km ratio is now a reproducible chart derivation from archived inputs; syncons, hubs, feeder lines and route diversity do not, because the EIS and other EnergyCo records the author relied on were not captured.</t>
        </is>
      </c>
      <c r="P7" s="5" t="inlineStr">
        <is>
          <t>2026-06</t>
        </is>
      </c>
      <c r="Q7" s="5" t="n"/>
      <c r="R7" s="5" t="inlineStr">
        <is>
          <t>Class 5b</t>
        </is>
      </c>
      <c r="S7" s="5" t="inlineStr">
        <is>
          <t>±50%</t>
        </is>
      </c>
      <c r="T7" s="5" t="inlineStr">
        <is>
          <t>Pre-construction; NSW Government independent assessment phase per AEMO 2026.</t>
        </is>
      </c>
      <c r="U7" s="5" t="inlineStr">
        <is>
          <t>EnergyCo NSW is the Infrastructure Planner for the project as a priority transmission infrastructure project; no EnergyCo delivery record was captured. · Priority transmission infrastructure project under the Electricity Infrastructure Investment Act 2020 (NSW); progresses as an actionable New South Wales project rather than under the RIT-T/ISP framework.</t>
        </is>
      </c>
      <c r="V7" s="5" t="inlineStr">
        <is>
          <t>CNSW-SNW Option 1 as represented by AEMO, named the Hunter Transmission Project and stated to include the Waratah Super Battery and related upgrades</t>
        </is>
      </c>
      <c r="W7" s="5" t="n">
        <v>500</v>
      </c>
      <c r="X7" s="5" t="inlineStr">
        <is>
          <t>1000 AUD million (2023-05, Real 2021 Australian dollars)</t>
        </is>
      </c>
      <c r="Y7" s="5" t="inlineStr">
        <is>
          <t>AEMO makes CNSW-SNW Option 1 (HTP) a pre-requisite for the Central-West Orana REZ network project above 3 GW and for the Sydney Ring South power flow control augmentation (CNSW-SNW Option 2d).</t>
        </is>
      </c>
    </row>
    <row r="8">
      <c r="A8" s="4" t="inlineStr">
        <is>
          <t>Sydney Ring South</t>
        </is>
      </c>
      <c r="B8" s="4" t="n">
        <v>2034</v>
      </c>
      <c r="C8" s="4" t="n">
        <v>3.5</v>
      </c>
      <c r="D8" s="4" t="n">
        <v>3.6</v>
      </c>
      <c r="E8" s="4" t="n">
        <v>114</v>
      </c>
      <c r="F8" s="4">
        <f>C8/E8 *1000</f>
        <v/>
      </c>
      <c r="G8" s="4" t="n">
        <v>2</v>
      </c>
      <c r="H8" s="4" t="n">
        <v>1</v>
      </c>
      <c r="I8" s="4" t="n">
        <v>1</v>
      </c>
      <c r="J8" s="4" t="n">
        <v>0</v>
      </c>
      <c r="K8" s="4" t="n">
        <v>0</v>
      </c>
      <c r="L8" s="4" t="n">
        <v>4500</v>
      </c>
      <c r="M8" s="4" t="n">
        <v>0</v>
      </c>
      <c r="N8" s="4" t="n"/>
      <c r="O8" s="5" t="inlineStr">
        <is>
          <t>Topology, capacity, circuits, lines and transformer cells are supported by the archived 2026 ISP and, for capacity, circuits and lines, corroborated directly by Transgrid's now-archived PADR; the cost cell is contradicted because the chart's $3.510bn does not match either archived total ($2,621m AEMO-modelled or $3,519m PADR Option 6, of which $3.510bn is a transcription); trunk_km is supported with a boundary caveat (2023 preparatory 114 km vs the PADR's newer ~100 km), and the millions-per-trunk-km ratio still rests on the chart's unverified 3,510 figure, so the row should not be published as-is.</t>
        </is>
      </c>
      <c r="P8" s="5" t="inlineStr">
        <is>
          <t>2026-05</t>
        </is>
      </c>
      <c r="Q8" s="5" t="inlineStr">
        <is>
          <t>Nominal</t>
        </is>
      </c>
      <c r="R8" s="5" t="inlineStr">
        <is>
          <t>P50 Class 5</t>
        </is>
      </c>
      <c r="S8" s="5" t="inlineStr">
        <is>
          <t>+100 per cent/-50 per cent</t>
        </is>
      </c>
      <c r="T8" s="5" t="inlineStr">
        <is>
          <t>Draft RIT-T stage (PADR under consultation); early works described as engagement, approvals, land, procurement and project development.</t>
        </is>
      </c>
      <c r="U8" s="5" t="inlineStr">
        <is>
          <t>Transgrid (RIT-T proponent) · National Electricity Rules ISP framework and RIT-T; contingent project application to the AER would follow an AEMO feedback-loop confirmation. Not archived: no CPA or determination.</t>
        </is>
      </c>
      <c r="V8" s="5" t="inlineStr">
        <is>
          <t>PADR Option 6: both stages combined</t>
        </is>
      </c>
      <c r="W8" s="5" t="inlineStr">
        <is>
          <t>330 kV line built to a 500 kV design; South Creek upgraded to a 330/500 kV substation</t>
        </is>
      </c>
      <c r="X8" s="5" t="inlineStr">
        <is>
          <t>221 AUD million (2024-06, $2022-23)</t>
        </is>
      </c>
      <c r="Y8" s="5" t="inlineStr">
        <is>
          <t>Hunter Transmission Project (CNSW-SNW Option 1 / Sydney Ring North) is a stated prerequisite for the power flow control option and is a separate project under the NSW Electricity Infrastructure Investment Act 2020.</t>
        </is>
      </c>
    </row>
    <row r="9">
      <c r="A9" s="4" t="inlineStr">
        <is>
          <t>HumeLink</t>
        </is>
      </c>
      <c r="B9" s="4" t="n">
        <v>2027</v>
      </c>
      <c r="C9" s="4" t="n">
        <v>4.9</v>
      </c>
      <c r="D9" s="4" t="n">
        <v>2.2</v>
      </c>
      <c r="E9" s="4" t="n">
        <v>365</v>
      </c>
      <c r="F9" s="4">
        <f>C9/E9 *1000</f>
        <v/>
      </c>
      <c r="G9" s="4" t="n">
        <v>2</v>
      </c>
      <c r="H9" s="4" t="n">
        <v>1</v>
      </c>
      <c r="I9" s="4" t="n">
        <v>0</v>
      </c>
      <c r="J9" s="4" t="n">
        <v>0</v>
      </c>
      <c r="K9" s="4" t="n">
        <v>0</v>
      </c>
      <c r="L9" s="4">
        <f>5*1500</f>
        <v/>
      </c>
      <c r="M9" s="4" t="n">
        <v>0</v>
      </c>
      <c r="N9" s="4" t="n"/>
      <c r="O9" s="5" t="inlineStr">
        <is>
          <t>The date, capacity, length, circuit, line and transformer cells all resolve to archived wording but four of them only under a stated boundary difference, the cost cell matches a two-vintage-old ISP estimate rather than the controlling AER allowance, the ratio and transformer cells are the chart's own arithmetic, and alt routes, syncons, hubs and feeder lines are an author judgment or unevidenced zeros.</t>
        </is>
      </c>
      <c r="P9" s="5" t="inlineStr">
        <is>
          <t>2024-06</t>
        </is>
      </c>
      <c r="Q9" s="5" t="inlineStr">
        <is>
          <t>June 2023 dollars</t>
        </is>
      </c>
      <c r="R9" s="5" t="inlineStr">
        <is>
          <t>Class 3</t>
        </is>
      </c>
      <c r="S9" s="5" t="inlineStr">
        <is>
          <t>-5% to +12%</t>
        </is>
      </c>
      <c r="T9" s="5" t="inlineStr">
        <is>
          <t>Committed and under delivery; construction expected to take about 2.5 years per the NSW approval. No final as-built scope, commissioning result or audited outturn is published.</t>
        </is>
      </c>
      <c r="U9" s="5" t="inlineStr">
        <is>
          <t>Transgrid · Actionable ISP project: RIT-T (PSCR 2019, amended PADR 2020, PACR and addendum 2021), AEMO feedback loops (2022, 2023 x2, 2024), and staged NER contingent project applications determined by the AER (Stage 1 Part 1 August 2022, Stage 1 Part 2 August 2023, Stage 2 August 2024). Physical approval is separate, under the NSW critical State significant infrastructure regime.</t>
        </is>
      </c>
      <c r="V9" s="5" t="inlineStr">
        <is>
          <t>The whole HumeLink ISP candidate option: three 500 kV circuits, Gugaa substation and 330 kV connection, transformers, reactors and substation augmentations</t>
        </is>
      </c>
      <c r="W9" s="5" t="n">
        <v>500</v>
      </c>
      <c r="X9" s="5" t="inlineStr">
        <is>
          <t>1350 AUD million (2020-01, price basis not stated)</t>
        </is>
      </c>
      <c r="Y9" s="5" t="inlineStr">
        <is>
          <t>Switching Station Near Wondalga (separate actionable ISP project; HumeLink is its stated prerequisite). Snowy 2.0 and Project EnergyConnect are the generation and interconnection connections HumeLink serves. Sydney Ring works are related system projects, not deleted HumeLink components; the PADR's power-flow-control options between Bannaby and Sydney were not required in Option 3C's then-current design.</t>
        </is>
      </c>
    </row>
    <row r="10">
      <c r="A10" s="4" t="inlineStr">
        <is>
          <t>Project EnergyConnect</t>
        </is>
      </c>
      <c r="B10" s="4" t="n">
        <v>2027</v>
      </c>
      <c r="C10" s="4" t="n">
        <v>4.1</v>
      </c>
      <c r="D10" s="4" t="n">
        <v>2.2</v>
      </c>
      <c r="E10" s="4" t="n">
        <v>160</v>
      </c>
      <c r="F10" s="4">
        <f>C10/E10 *1000</f>
        <v/>
      </c>
      <c r="G10" s="4" t="n">
        <v>2</v>
      </c>
      <c r="H10" s="4" t="n">
        <v>1</v>
      </c>
      <c r="I10" s="4" t="n">
        <v>0</v>
      </c>
      <c r="J10" s="4" t="n">
        <v>240</v>
      </c>
      <c r="K10" s="4" t="n">
        <v>0</v>
      </c>
      <c r="L10" s="4" t="n">
        <v>0</v>
      </c>
      <c r="M10" s="4" t="n">
        <v>0</v>
      </c>
      <c r="N10" s="4" t="n"/>
      <c r="O10" s="5" t="inlineStr">
        <is>
          <t>Not publishable as-is: the cost cell rests on a social-value figure rather than capital expenditure, and the closest capital-cost figure archived - TransGrid's own $3,628m (real 2022-23) February 2026 reopener forecast - is a proponent application on a different boundary and basis, not an approved amount. The trunk length now matches a sourced 160 km Stage 1 section exactly, but that is one section of a nine-hundred-kilometre project, and the capacity, syncon, transformer and feeder cells are contradicted by the archived scope.</t>
        </is>
      </c>
      <c r="P10" s="5" t="inlineStr">
        <is>
          <t>2026-02</t>
        </is>
      </c>
      <c r="Q10" s="5" t="inlineStr">
        <is>
          <t>Real 2022-23</t>
        </is>
      </c>
      <c r="R10" s="5" t="n"/>
      <c r="S10" s="5" t="n"/>
      <c r="T10" s="5" t="inlineStr">
        <is>
          <t>Stage 1 complete (late 2024); Stage 2 under construction and committed</t>
        </is>
      </c>
      <c r="U10" s="5" t="inlineStr">
        <is>
          <t>ElectraNet (South Australia) and TransGrid (New South Wales), jointly constructing and operating · AER contingent project determinations under the 2018-23 regulatory control periods, one per owner (both final 28 May 2021)</t>
        </is>
      </c>
      <c r="V10" s="5" t="inlineStr">
        <is>
          <t>TransGrid's (NSW) forecast total capital expenditure to complete Project EnergyConnect, per Table 3 of TransGrid's February 2026 application to reopen its 2023-2028 revenue determination</t>
        </is>
      </c>
      <c r="W10" s="5" t="inlineStr">
        <is>
          <t>330 kV interconnector; the Robertstown-Bundey section is 275 kV and the Dinawan-Wagga Wagga section is built at 500 kV but operated at 330 kV</t>
        </is>
      </c>
      <c r="X10" s="5" t="inlineStr">
        <is>
          <t>2290.9 AUD million (2020-06-29, Real 2017-18)</t>
        </is>
      </c>
      <c r="Y10" s="5" t="inlineStr">
        <is>
          <t>Interfaces with HumeLink and VNI West at Wagga Wagga and Dinawan; these are dependencies, not PEC components. The Victorian connection is a 220 kV spur at Red Cliffs.</t>
        </is>
      </c>
    </row>
    <row r="11">
      <c r="A11" s="4" t="inlineStr">
        <is>
          <t>VNI West (NSW)</t>
        </is>
      </c>
      <c r="B11" s="4" t="n">
        <v>2031</v>
      </c>
      <c r="C11" s="4" t="n">
        <v>3.7</v>
      </c>
      <c r="D11" s="4" t="n">
        <v>1.8</v>
      </c>
      <c r="E11" s="4" t="n">
        <v>240</v>
      </c>
      <c r="F11" s="4">
        <f>C11/E11 *1000</f>
        <v/>
      </c>
      <c r="G11" s="4" t="n">
        <v>2</v>
      </c>
      <c r="H11" s="4" t="n">
        <v>1</v>
      </c>
      <c r="I11" s="4" t="n">
        <v>0</v>
      </c>
      <c r="J11" s="4" t="n">
        <v>0</v>
      </c>
      <c r="K11" s="4" t="n">
        <v>1</v>
      </c>
      <c r="L11" s="4" t="n">
        <v>6000</v>
      </c>
      <c r="M11" s="4" t="n">
        <v>0</v>
      </c>
      <c r="N11" s="4" t="n"/>
      <c r="O11" s="5" t="inlineStr">
        <is>
          <t>The row describes a NSW half of a project whose archived cost, capacity and timing evidence exists only at whole-interconnector or conditional-option boundaries, so its headline cost is an author split, its transformer rating is contradicted, and its route, syncon and feeder cells are unsupported.</t>
        </is>
      </c>
      <c r="P11" s="5" t="inlineStr">
        <is>
          <t>2026-06</t>
        </is>
      </c>
      <c r="Q11" s="5" t="inlineStr">
        <is>
          <t>$2025</t>
        </is>
      </c>
      <c r="R11" s="5" t="inlineStr">
        <is>
          <t>Class 4</t>
        </is>
      </c>
      <c r="S11" s="5" t="inlineStr">
        <is>
          <t>-30%/+50%</t>
        </is>
      </c>
      <c r="T11" s="5" t="inlineStr">
        <is>
          <t>Early works, community engagement and technical studies; Iberdrola awarded the design-and-develop contract in November 2025 (Victorian side, with TCV). No NSW construction outturn captured.</t>
        </is>
      </c>
      <c r="U11" s="5" t="inlineStr">
        <is>
          <t>Transgrid (NSW) with VicGrid/TCV in Victoria; Transgrid and AVP (now VicGrid) were the RIT-T proponents. Transgrid's own scope/approval records were unavailable. · NSW Electricity Infrastructure Investment Act 2020 pathway for the South West NSW REZ component; NSW Government announced $225m in the 2026 NSW Budget (funding announcement, not project cost, allowance or outturn).</t>
        </is>
      </c>
      <c r="V11" s="5" t="inlineStr">
        <is>
          <t>Whole VNI West as reported by AEMO: South West NSW REZ plus Interconnector, including two Dinawan 500/330 kV transformers only</t>
        </is>
      </c>
      <c r="W11" s="5" t="inlineStr">
        <is>
          <t>500 kV (interconnector); NSW component upgrades the Dinawan - Wagga Wagga - Gugaa double-circuit line from 330 kV to 500 kV operation.</t>
        </is>
      </c>
      <c r="X11" s="5" t="inlineStr">
        <is>
          <t>3499 AUD million (2023-05, $m 2020-21)</t>
        </is>
      </c>
      <c r="Y11" s="5" t="inlineStr">
        <is>
          <t>HumeLink and Project EnergyConnect are stated prerequisites for the South West NSW REZ Stage 1 scope; Western Renewables Link is a prerequisite for Stage 2 and its cost was bundled into the 2024 $3,499m figure.</t>
        </is>
      </c>
    </row>
    <row r="12">
      <c r="A12" s="4" t="inlineStr">
        <is>
          <t>VNI West (VIC)</t>
        </is>
      </c>
      <c r="B12" s="4" t="n">
        <v>2031</v>
      </c>
      <c r="C12" s="4" t="n">
        <v>3.7</v>
      </c>
      <c r="D12" s="4" t="n">
        <v>1.8</v>
      </c>
      <c r="E12" s="4" t="n">
        <v>240</v>
      </c>
      <c r="F12" s="4">
        <f>C12/E12 *1000</f>
        <v/>
      </c>
      <c r="G12" s="4" t="n">
        <v>2</v>
      </c>
      <c r="H12" s="4" t="n">
        <v>1</v>
      </c>
      <c r="I12" s="4" t="n">
        <v>0</v>
      </c>
      <c r="J12" s="4" t="n">
        <v>0</v>
      </c>
      <c r="K12" s="4" t="n">
        <v>1</v>
      </c>
      <c r="L12" s="4" t="n">
        <v>2000</v>
      </c>
      <c r="M12" s="4" t="n">
        <v>0</v>
      </c>
      <c r="N12" s="4" t="n"/>
      <c r="O12" s="5" t="inlineStr">
        <is>
          <t>Timing, topology and now the Victorian route length are supportable from archived sources (the 2026 ISP and, for trunk_km, the 2023 PACR), but the cost cell remains an unsourced halving of a whole-interconnector figure. The PACR and PADR are now archived and do state Victoria/NSW cost splits for their own (2022/2023, RIT-T-vintage) estimates, but this pack does not promote those into a Victoria-only chart headline, so the row should still not be published as a Victoria-only cost.</t>
        </is>
      </c>
      <c r="P12" s="5" t="inlineStr">
        <is>
          <t>2026-06</t>
        </is>
      </c>
      <c r="Q12" s="5" t="inlineStr">
        <is>
          <t>$2025</t>
        </is>
      </c>
      <c r="R12" s="5" t="inlineStr">
        <is>
          <t>Class 4</t>
        </is>
      </c>
      <c r="S12" s="5" t="inlineStr">
        <is>
          <t>-30%/+50%</t>
        </is>
      </c>
      <c r="T12" s="5" t="inlineStr">
        <is>
          <t>Early works and community engagement under way; no construction outturn, approved revenue determination or contract price is archived.</t>
        </is>
      </c>
      <c r="U12" s="5" t="inlineStr">
        <is>
          <t>Joint RIT-T proponents Transgrid and AEMO Victorian Planning (AVP, now VicGrid); Transmission Company Victoria (TCV) delivers the Victorian part; Iberdrola awarded design and development in November 2025. · Victorian part is a National Electricity (Victoria) Act 2005 specified augmentation (May 2023 order); the South West NSW REZ component is an actionable NSW project progressing under the Electricity Infrastructure Investment Act 2020 (NSW) rather than the ISP framework.</t>
        </is>
      </c>
      <c r="V12" s="5" t="inlineStr">
        <is>
          <t>South West NSW REZ + Interconnector; whole integrated VNI West including two Dinawan transformers</t>
        </is>
      </c>
      <c r="W12" s="5" t="n">
        <v>500</v>
      </c>
      <c r="X12" s="5" t="inlineStr">
        <is>
          <t>3256 AUD million (2022-07, FY2020-21 dollars)</t>
        </is>
      </c>
      <c r="Y12" s="5" t="inlineStr">
        <is>
          <t>Prerequisites stated by AEMO: VNI West - South West NSW REZ Stage 1, Victorian Western Renewables Link, HumeLink, Project EnergyConnect. WRL connects at the terminal station near Bulgana but is a separate project.</t>
        </is>
      </c>
    </row>
    <row r="13">
      <c r="A13" s="4" t="inlineStr">
        <is>
          <t>Western Renewables Link</t>
        </is>
      </c>
      <c r="B13" s="4" t="n">
        <v>2029</v>
      </c>
      <c r="C13" s="4" t="n">
        <v>1.6</v>
      </c>
      <c r="D13" s="4" t="n">
        <v>3</v>
      </c>
      <c r="E13" s="4" t="n">
        <v>190</v>
      </c>
      <c r="F13" s="4">
        <f>C13/E13 *1000</f>
        <v/>
      </c>
      <c r="G13" s="4" t="n">
        <v>2</v>
      </c>
      <c r="H13" s="4" t="n">
        <v>1</v>
      </c>
      <c r="I13" s="4" t="n">
        <v>0</v>
      </c>
      <c r="J13" s="4" t="n">
        <v>0</v>
      </c>
      <c r="K13" s="4" t="n">
        <v>1</v>
      </c>
      <c r="L13" s="4" t="n">
        <v>2000</v>
      </c>
      <c r="M13" s="4" t="n">
        <v>0</v>
      </c>
      <c r="N13" s="4" t="n"/>
      <c r="O13" s="5" t="inlineStr">
        <is>
          <t>Publishable only with the cost caveat: the physical and schedule cells are sourced, but the $1.6 billion cost and the $/km derived from it have no archived source, and the transformer and hub cells rest on unallocated shared Bulgana works.</t>
        </is>
      </c>
      <c r="P13" s="5" t="inlineStr">
        <is>
          <t>2024-06</t>
        </is>
      </c>
      <c r="Q13" s="5" t="inlineStr">
        <is>
          <t>2020-21 dollars</t>
        </is>
      </c>
      <c r="R13" s="5" t="inlineStr">
        <is>
          <t>Class 4 (as stated for the VNI West option)</t>
        </is>
      </c>
      <c r="S13" s="5" t="inlineStr">
        <is>
          <t>Not separately stated for the WRL component</t>
        </is>
      </c>
      <c r="T13" s="5" t="inlineStr">
        <is>
          <t>Anticipated (AEMO 2026 classification); construction status not evidenced.</t>
        </is>
      </c>
      <c r="U13" s="5" t="inlineStr">
        <is>
          <t>AusNet is the archived proponent; Victorian transmission planning responsibility transferred to VicGrid on 1 November 2025. No ownership or delivery instrument is archived. · Not established in the archive. No RIT-T PACR, NEVA order, regulatory determination or funding instrument was acquired.</t>
        </is>
      </c>
      <c r="V13" s="5" t="inlineStr">
        <is>
          <t>The WRL project as included inside the VNI West quoted project cost; not a standalone WRL estimate and not the current WRL scope</t>
        </is>
      </c>
      <c r="W13" s="5" t="n">
        <v>500</v>
      </c>
      <c r="X13" s="5" t="inlineStr">
        <is>
          <t>315 AUD million (2023-05, FY2020-21 dollars)</t>
        </is>
      </c>
      <c r="Y13" s="5" t="inlineStr">
        <is>
          <t>VNI West (connects at a terminal station near Bulgana; WRL is an interface/prerequisite). South West Victoria Expansion is a separate future project with a WRL prerequisite. Western Victoria Reinforcement is a distinct VicGrid program, not a WRL component.</t>
        </is>
      </c>
    </row>
    <row r="14">
      <c r="A14" s="4" t="inlineStr">
        <is>
          <t>Marinus Link 1 &amp; 2</t>
        </is>
      </c>
      <c r="B14" s="4" t="n">
        <v>2034</v>
      </c>
      <c r="C14" s="4" t="n">
        <v>5.5</v>
      </c>
      <c r="D14" s="4" t="n">
        <v>1.4</v>
      </c>
      <c r="E14" s="4" t="n">
        <v>345</v>
      </c>
      <c r="F14" s="4">
        <f>C14/E14 *1000</f>
        <v/>
      </c>
      <c r="G14" s="4" t="n">
        <v>2</v>
      </c>
      <c r="H14" s="4" t="n">
        <v>2</v>
      </c>
      <c r="I14" s="4" t="n">
        <v>2</v>
      </c>
      <c r="J14" s="4" t="n">
        <v>0</v>
      </c>
      <c r="K14" s="4" t="n">
        <v>0</v>
      </c>
      <c r="L14" s="4" t="n">
        <v>0</v>
      </c>
      <c r="M14" s="4" t="n">
        <v>0</v>
      </c>
      <c r="N14" s="4" t="n"/>
      <c r="O14" s="5" t="inlineStr">
        <is>
          <t>The row should not be published as-is: the cost and capacity cells are contradicted by archived sources, the length and ratio cells are derivations under a definition Marinus does not meet, and five topology cells are gaps or author judgments.</t>
        </is>
      </c>
      <c r="P14" s="5" t="inlineStr">
        <is>
          <t>2026-06</t>
        </is>
      </c>
      <c r="Q14" s="5" t="inlineStr">
        <is>
          <t>2023 dollars</t>
        </is>
      </c>
      <c r="R14" s="5" t="n"/>
      <c r="S14" s="5" t="inlineStr">
        <is>
          <t>Stage 2 Class 4 +/-30%</t>
        </is>
      </c>
      <c r="T14" s="5" t="inlineStr">
        <is>
          <t>Stage 1 anticipated project (AEMO 2026 ISP); Stage 2 reassessed as an actionable ISP project (TAS-SEV Option 2A). No construction outturn captured.</t>
        </is>
      </c>
      <c r="U14" s="5" t="inlineStr">
        <is>
          <t>Marinus Link Pty Ltd delivers the HVDC interconnector; TasNetworks delivers the North West Transmission Developments (NWTD) HVAC works. AEMO reports both collectively as Project Marinus. · Actionable ISP project under the RIT-T, feedback-loop and contingent-project framework. AEMO reports a Tasmanian, Victorian and Australian government Final Investment Decision for Stage 1 on 1 August 2025; the operative decision or funding instrument is not archived.</t>
        </is>
      </c>
      <c r="V14" s="5" t="inlineStr">
        <is>
          <t>Project Marinus Stage 1 plus Stage 2, as reported in feedback-loop context</t>
        </is>
      </c>
      <c r="W14" s="5" t="n"/>
      <c r="X14" s="5" t="inlineStr">
        <is>
          <t>3481 AUD million (2021-06, 2020 dollars)</t>
        </is>
      </c>
      <c r="Y14" s="5" t="inlineStr">
        <is>
          <t>Tasmania REZ Expansion (T2 Option 1) builds the Burnie-Hampshire Hills 220 kV lines removed from Stage 2 Option 2A; North West Transmission Developments (TasNetworks); existing Basslink interconnector operates in parallel.</t>
        </is>
      </c>
    </row>
  </sheetData>
  <mergeCells count="2">
    <mergeCell ref="A2:Y2"/>
    <mergeCell ref="A1:Y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24"/>
  <sheetViews>
    <sheetView showGridLines="0" workbookViewId="0">
      <pane ySplit="4" topLeftCell="A5" activePane="bottomLeft" state="frozen"/>
      <selection pane="bottomLeft" activeCell="A1" sqref="A1"/>
    </sheetView>
  </sheetViews>
  <sheetFormatPr baseColWidth="8" defaultRowHeight="15"/>
  <cols>
    <col width="24" customWidth="1" min="1" max="1"/>
    <col width="26" customWidth="1" min="2" max="2"/>
    <col width="24" customWidth="1" min="3" max="3"/>
    <col width="20" customWidth="1" min="4" max="4"/>
    <col width="22" customWidth="1" min="5" max="5"/>
    <col width="40" customWidth="1" min="6" max="6"/>
    <col width="80" customWidth="1" min="7" max="7"/>
    <col width="34" customWidth="1" min="8" max="8"/>
    <col width="20" customWidth="1" min="9" max="9"/>
    <col width="30" customWidth="1" min="10" max="10"/>
  </cols>
  <sheetData>
    <row r="1" ht="38" customHeight="1">
      <c r="A1" s="1" t="inlineStr">
        <is>
          <t>Chart review</t>
        </is>
      </c>
    </row>
    <row r="2" ht="26" customHeight="1">
      <c r="A2" s="2" t="inlineStr">
        <is>
          <t>One row per family per chart cell: the author's original input, its evidence status, the source-supported value and the pinpoint.</t>
        </is>
      </c>
    </row>
    <row r="4" ht="30" customHeight="1">
      <c r="A4" s="3" t="inlineStr">
        <is>
          <t>Family</t>
        </is>
      </c>
      <c r="B4" s="3" t="inlineStr">
        <is>
          <t>Chart row</t>
        </is>
      </c>
      <c r="C4" s="3" t="inlineStr">
        <is>
          <t>Field</t>
        </is>
      </c>
      <c r="D4" s="3" t="inlineStr">
        <is>
          <t>Original value</t>
        </is>
      </c>
      <c r="E4" s="3" t="inlineStr">
        <is>
          <t>Evidence status</t>
        </is>
      </c>
      <c r="F4" s="3" t="inlineStr">
        <is>
          <t>Supported value</t>
        </is>
      </c>
      <c r="G4" s="3" t="inlineStr">
        <is>
          <t>Evidence finding</t>
        </is>
      </c>
      <c r="H4" s="3" t="inlineStr">
        <is>
          <t>Source IDs</t>
        </is>
      </c>
      <c r="I4" s="3" t="inlineStr">
        <is>
          <t>Pages</t>
        </is>
      </c>
      <c r="J4" s="3" t="inlineStr">
        <is>
          <t>Selected observation</t>
        </is>
      </c>
    </row>
    <row r="5">
      <c r="A5" s="6" t="inlineStr">
        <is>
          <t>Central-West Orana Renewable Energy Zone</t>
        </is>
      </c>
      <c r="B5" s="6" t="inlineStr">
        <is>
          <t>Central West Orana REZ</t>
        </is>
      </c>
      <c r="C5" s="6" t="inlineStr">
        <is>
          <t>date</t>
        </is>
      </c>
      <c r="D5" s="6" t="inlineStr">
        <is>
          <t>2029</t>
        </is>
      </c>
      <c r="E5" s="6" t="inlineStr">
        <is>
          <t>contradicted</t>
        </is>
      </c>
      <c r="F5" s="6" t="inlineStr">
        <is>
          <t>2028-12</t>
        </is>
      </c>
      <c r="G5" s="6" t="inlineStr">
        <is>
          <t>No archived source states 2029. AEMO's 2026 ISP gives December 2028 for the committed project; the AER records staged infrastructure completion between April 2028 and April 2030 with generation from December 2028 to September 2030; the Expansion, whose $855m sits in the same row's cost, is timed March 2033.</t>
        </is>
      </c>
      <c r="H5" s="6" t="inlineStr">
        <is>
          <t>CWO-22; CWO-18</t>
        </is>
      </c>
      <c r="I5" s="6" t="inlineStr">
        <is>
          <t>CWO-22 PDF p23; CWO-18 PDF p12</t>
        </is>
      </c>
      <c r="J5" s="6" t="inlineStr">
        <is>
          <t>CWO-AO-2026-COMMITTED-TIMING</t>
        </is>
      </c>
    </row>
    <row r="6">
      <c r="A6" s="5" t="inlineStr">
        <is>
          <t>Central-West Orana Renewable Energy Zone</t>
        </is>
      </c>
      <c r="B6" s="5" t="inlineStr">
        <is>
          <t>Central West Orana REZ</t>
        </is>
      </c>
      <c r="C6" s="5" t="inlineStr">
        <is>
          <t>cost_aud_billion</t>
        </is>
      </c>
      <c r="D6" s="5" t="inlineStr">
        <is>
          <t>6.786999999999999</t>
        </is>
      </c>
      <c r="E6" s="5" t="inlineStr">
        <is>
          <t>derived</t>
        </is>
      </c>
      <c r="F6" s="5" t="inlineStr">
        <is>
          <t>6.7871</t>
        </is>
      </c>
      <c r="G6" s="5" t="inlineStr">
        <is>
          <t>Sum of three separately bounded observations: CWO-AO-2025-MAIN-REMADE $5,526.1m (nominal NER-equivalent, Main only, consumer-funded) + CWO-AO-2026-ENABLING-FINAL-INC $406.0m (real 2025-26, Enabling) + CWO-AO-2026-EXPANSION-COST $855m (dollar year not stated, Class 5b, not yet authorised) = $6,787.1m. No source publishes this total, the inputs are not on a common basis, and the sum omits generator-funded H2P and CSS, construction finance and the $186.8m Barigan Creek acquisition. See NON_ADDITIVE_BOUNDARIES (blocker).</t>
        </is>
      </c>
      <c r="H6" s="5" t="inlineStr">
        <is>
          <t>CWO-18; CWO-21; CWO-22</t>
        </is>
      </c>
      <c r="I6" s="5" t="inlineStr">
        <is>
          <t>CWO-18 PDF p38; CWO-21 PDF p50; CWO-22 PDF p57</t>
        </is>
      </c>
      <c r="J6" s="5" t="inlineStr">
        <is>
          <t>CWO-AO-2025-MAIN-REMADE</t>
        </is>
      </c>
    </row>
    <row r="7">
      <c r="A7" s="5" t="inlineStr">
        <is>
          <t>Central-West Orana Renewable Energy Zone</t>
        </is>
      </c>
      <c r="B7" s="5" t="inlineStr">
        <is>
          <t>Central West Orana REZ</t>
        </is>
      </c>
      <c r="C7" s="5" t="inlineStr">
        <is>
          <t>network_capacity_gw</t>
        </is>
      </c>
      <c r="D7" s="5" t="inlineStr">
        <is>
          <t>6</t>
        </is>
      </c>
      <c r="E7" s="5" t="inlineStr">
        <is>
          <t>supported_with_boundary</t>
        </is>
      </c>
      <c r="F7" s="5" t="inlineStr">
        <is>
          <t>6</t>
        </is>
      </c>
      <c r="G7" s="5" t="inlineStr">
        <is>
          <t>6,000 MW is the declared intended network capacity after the December 2023 amendment, as reported by AEMO and the AER, not capacity available at the row's date: initial delivery is 4,500 MW, the AER states capacity is planned to increase to 6 GW by 2038, and the Expansion's +1,500 MW is timed March 2033. The row's single cell also sits alongside three other archived capacity measures (7.7 GW hosting, 7.7 GW aggregate access cap, 7.15/7.7 GW awarded access rights).</t>
        </is>
      </c>
      <c r="H7" s="5" t="inlineStr">
        <is>
          <t>CWO-22; CWO-18</t>
        </is>
      </c>
      <c r="I7" s="5" t="inlineStr">
        <is>
          <t>CWO-22 PDF p22; CWO-18 PDF p11</t>
        </is>
      </c>
      <c r="J7" s="5" t="inlineStr">
        <is>
          <t>CWO-AO-2023-DECLARED-6GW</t>
        </is>
      </c>
    </row>
    <row r="8">
      <c r="A8" s="4" t="inlineStr">
        <is>
          <t>Central-West Orana Renewable Energy Zone</t>
        </is>
      </c>
      <c r="B8" s="4" t="inlineStr">
        <is>
          <t>Central West Orana REZ</t>
        </is>
      </c>
      <c r="C8" s="4" t="inlineStr">
        <is>
          <t>trunk_km</t>
        </is>
      </c>
      <c r="D8" s="4" t="inlineStr">
        <is>
          <t>90</t>
        </is>
      </c>
      <c r="E8" s="4" t="inlineStr">
        <is>
          <t>supported</t>
        </is>
      </c>
      <c r="F8" s="4" t="inlineStr">
        <is>
          <t>90</t>
        </is>
      </c>
      <c r="G8" s="4" t="inlineStr">
        <is>
          <t>The AER states core infrastructure comprises a 90 km transmission line corridor between Wollar and Elong Elong. The ASL statement of reasons for the Main authorisation corroborates this as the sum of two segments: an approximately 60 km line from Barigan Creek to Merotherie and an approximately 30 km line from Merotherie to Elong Elong (60+30=90). ACEREZ's own project page separately corroborates 90 km, stating the project consists of 90km of 500kV overhead transmission lines. The boundary is the Main core corridor only: it excludes the Enabling 330 kV lines and the Expansion's new Merotherie-A to Merotherie-B line, both of whose costs are inside this row's cost cell.</t>
        </is>
      </c>
      <c r="H8" s="4" t="inlineStr">
        <is>
          <t>CWO-18; CWO-23; CWO-26</t>
        </is>
      </c>
      <c r="I8" s="4" t="inlineStr">
        <is>
          <t>CWO-18 PDF p11; CWO-23 PDF p10; CWO-26 web</t>
        </is>
      </c>
      <c r="J8" s="4" t="inlineStr">
        <is>
          <t>CWO-AO-2025-TRUNK-90KM</t>
        </is>
      </c>
    </row>
    <row r="9">
      <c r="A9" s="5" t="inlineStr">
        <is>
          <t>Central-West Orana Renewable Energy Zone</t>
        </is>
      </c>
      <c r="B9" s="5" t="inlineStr">
        <is>
          <t>Central West Orana REZ</t>
        </is>
      </c>
      <c r="C9" s="5" t="inlineStr">
        <is>
          <t>millions_per_trunk_km</t>
        </is>
      </c>
      <c r="D9" s="5" t="inlineStr">
        <is>
          <t>75.4111111111111</t>
        </is>
      </c>
      <c r="E9" s="5" t="inlineStr">
        <is>
          <t>derived</t>
        </is>
      </c>
      <c r="F9" s="5" t="inlineStr"/>
      <c r="G9" s="5" t="inlineStr">
        <is>
          <t>$6,787.1m / 90 km = 75.41. The numerator aggregates Main, Enabling and Expansion on three different bases while the denominator is the Main core corridor only, so the ratio is not a like-for-like unit cost. Inputs: CWO-AO-2025-MAIN-REMADE, CWO-AO-2026-ENABLING-FINAL-INC, CWO-AO-2026-EXPANSION-COST, CWO-AO-2025-TRUNK-90KM.</t>
        </is>
      </c>
      <c r="H9" s="5" t="inlineStr">
        <is>
          <t>CWO-18; CWO-21; CWO-22</t>
        </is>
      </c>
      <c r="I9" s="5" t="inlineStr">
        <is>
          <t>CWO-18 PDF pp11, 38; CWO-21 PDF p50; CWO-22 PDF p57</t>
        </is>
      </c>
      <c r="J9" s="5" t="n"/>
    </row>
    <row r="10">
      <c r="A10" s="5" t="inlineStr">
        <is>
          <t>Central-West Orana Renewable Energy Zone</t>
        </is>
      </c>
      <c r="B10" s="5" t="inlineStr">
        <is>
          <t>Central West Orana REZ</t>
        </is>
      </c>
      <c r="C10" s="5" t="inlineStr">
        <is>
          <t>circuits</t>
        </is>
      </c>
      <c r="D10" s="5" t="inlineStr">
        <is>
          <t>4</t>
        </is>
      </c>
      <c r="E10" s="5" t="inlineStr">
        <is>
          <t>derived</t>
        </is>
      </c>
      <c r="F10" s="5" t="inlineStr">
        <is>
          <t>4</t>
        </is>
      </c>
      <c r="G10" s="5" t="inlineStr">
        <is>
          <t>No archived source states a circuit count. The AER states the transmission lines will be two double circuit 500 kV lines, the authorisation describes each corridor section as comprising two 500 kV double circuit lines, and the ASL statement of reasons for the Main authorisation describes both the Barigan Creek-Merotherie and Merotherie-Elong Elong segments as each comprising two 500 kV double circuit lines; 2 lines x 2 circuits = 4. Inputs: CWO-AO-2025-LINES-2, CWO-AO-2024-AUTH-DC-LINES, CWO-AO-2024-LINES-ASL-SOR.</t>
        </is>
      </c>
      <c r="H10" s="5" t="inlineStr">
        <is>
          <t>CWO-18; CWO-10; CWO-23</t>
        </is>
      </c>
      <c r="I10" s="5" t="inlineStr">
        <is>
          <t>CWO-18 PDF p11; CWO-10 PDF p2; CWO-23 PDF p10</t>
        </is>
      </c>
      <c r="J10" s="5" t="n"/>
    </row>
    <row r="11">
      <c r="A11" s="4" t="inlineStr">
        <is>
          <t>Central-West Orana Renewable Energy Zone</t>
        </is>
      </c>
      <c r="B11" s="4" t="inlineStr">
        <is>
          <t>Central West Orana REZ</t>
        </is>
      </c>
      <c r="C11" s="4" t="inlineStr">
        <is>
          <t>lines</t>
        </is>
      </c>
      <c r="D11" s="4" t="inlineStr">
        <is>
          <t>2</t>
        </is>
      </c>
      <c r="E11" s="4" t="inlineStr">
        <is>
          <t>supported</t>
        </is>
      </c>
      <c r="F11" s="4" t="inlineStr">
        <is>
          <t>2</t>
        </is>
      </c>
      <c r="G11" s="4" t="inlineStr">
        <is>
          <t>The AER states the transmission lines on the 90 km core corridor will be two double circuit 500 kV lines, initially operated at 330 kV between Merotherie and Elong Elong; the authorisation and the ASL statement of reasons both state the same composition for each of the Barigan Creek-Merotherie (approx. 60 km, operated at 500 kV) and Merotherie-Elong Elong (approx. 30 km, operated at 330 kV) sections.</t>
        </is>
      </c>
      <c r="H11" s="4" t="inlineStr">
        <is>
          <t>CWO-18; CWO-10; CWO-23</t>
        </is>
      </c>
      <c r="I11" s="4" t="inlineStr">
        <is>
          <t>CWO-18 PDF p11; CWO-10 PDF p2; CWO-23 PDF p10</t>
        </is>
      </c>
      <c r="J11" s="4" t="inlineStr">
        <is>
          <t>CWO-AO-2025-LINES-2</t>
        </is>
      </c>
    </row>
    <row r="12">
      <c r="A12" s="5" t="inlineStr">
        <is>
          <t>Central-West Orana Renewable Energy Zone</t>
        </is>
      </c>
      <c r="B12" s="5" t="inlineStr">
        <is>
          <t>Central West Orana REZ</t>
        </is>
      </c>
      <c r="C12" s="5" t="inlineStr">
        <is>
          <t>alt_routes</t>
        </is>
      </c>
      <c r="D12" s="5" t="inlineStr">
        <is>
          <t>0</t>
        </is>
      </c>
      <c r="E12" s="5" t="inlineStr">
        <is>
          <t>judgment</t>
        </is>
      </c>
      <c r="F12" s="5" t="inlineStr"/>
      <c r="G12" s="5" t="inlineStr">
        <is>
          <t>No archived source counts or assesses alternative routes for this project. The value is an author definition; see the AUTHOR_DECISION_REQUIRED warning.</t>
        </is>
      </c>
      <c r="H12" s="5" t="inlineStr"/>
      <c r="I12" s="5" t="inlineStr"/>
      <c r="J12" s="5" t="n"/>
    </row>
    <row r="13">
      <c r="A13" s="4" t="inlineStr">
        <is>
          <t>Central-West Orana Renewable Energy Zone</t>
        </is>
      </c>
      <c r="B13" s="4" t="inlineStr">
        <is>
          <t>Central West Orana REZ</t>
        </is>
      </c>
      <c r="C13" s="4" t="inlineStr">
        <is>
          <t>syncons_mva</t>
        </is>
      </c>
      <c r="D13" s="4" t="inlineStr">
        <is>
          <t>1750</t>
        </is>
      </c>
      <c r="E13" s="4" t="inlineStr">
        <is>
          <t>supported</t>
        </is>
      </c>
      <c r="F13" s="4" t="inlineStr">
        <is>
          <t>1750</t>
        </is>
      </c>
      <c r="G13" s="4" t="inlineStr">
        <is>
          <t>The notice of authorisation specifies system strength infrastructure at the energy hubs comprising synchronous condensers with a nominal nameplate rating of up to 1,750 MVA; the AER records seven 250 MVA units (4 at Merotherie, 3 at Elong Elong) delivering the total system strength specified, and EnergyCo's recommendation states a solution for an installed 1,750 MVA. These assets are inside Main's physical scope but funded by access right holders. Transgrid's system strength PACR instead reports seven 240 MVA-rated ACEREZ synchronous condensers planned to remediate the first 5.84 GW of IBR in the CWO REZ (7 x 240 = 1,680 MVA), contradicting the AER's per-unit rating while remaining within the authorised 'up to 1,750 MVA' ceiling; see CONTRADICTION warning.</t>
        </is>
      </c>
      <c r="H13" s="4" t="inlineStr">
        <is>
          <t>CWO-10; CWO-18; CWO-09; CWO-24</t>
        </is>
      </c>
      <c r="I13" s="4" t="inlineStr">
        <is>
          <t>CWO-10 PDF p2; CWO-18 PDF p15; CWO-09 PDF p10; CWO-24 PDF p31</t>
        </is>
      </c>
      <c r="J13" s="4" t="inlineStr">
        <is>
          <t>CWO-AO-2024-SYNCONS-AUTH</t>
        </is>
      </c>
    </row>
    <row r="14">
      <c r="A14" s="5" t="inlineStr">
        <is>
          <t>Central-West Orana Renewable Energy Zone</t>
        </is>
      </c>
      <c r="B14" s="5" t="inlineStr">
        <is>
          <t>Central West Orana REZ</t>
        </is>
      </c>
      <c r="C14" s="5" t="inlineStr">
        <is>
          <t>hubs</t>
        </is>
      </c>
      <c r="D14" s="5" t="inlineStr">
        <is>
          <t>3</t>
        </is>
      </c>
      <c r="E14" s="5" t="inlineStr">
        <is>
          <t>judgment</t>
        </is>
      </c>
      <c r="F14" s="5" t="inlineStr">
        <is>
          <t>2</t>
        </is>
      </c>
      <c r="G14" s="5" t="inlineStr">
        <is>
          <t>Archived sources name two energy hubs for the committed project (Merotherie and Elong Elong) and treat Barigan Creek as a switching station. The chart's 3 counts Merotherie-A, Merotherie-B and Elong Elong by combining the committed project with the future Expansion; no source counts hubs that way.</t>
        </is>
      </c>
      <c r="H14" s="5" t="inlineStr">
        <is>
          <t>CWO-18; CWO-22</t>
        </is>
      </c>
      <c r="I14" s="5" t="inlineStr">
        <is>
          <t>CWO-18 PDF pp11, 14; CWO-22 PDF pp23, 57</t>
        </is>
      </c>
      <c r="J14" s="5" t="inlineStr">
        <is>
          <t>CWO-AO-2025-HUBS-2</t>
        </is>
      </c>
    </row>
    <row r="15">
      <c r="A15" s="5" t="inlineStr">
        <is>
          <t>Central-West Orana Renewable Energy Zone</t>
        </is>
      </c>
      <c r="B15" s="5" t="inlineStr">
        <is>
          <t>Central West Orana REZ</t>
        </is>
      </c>
      <c r="C15" s="5" t="inlineStr">
        <is>
          <t>transformers</t>
        </is>
      </c>
      <c r="D15" s="5" t="inlineStr">
        <is>
          <t>15000</t>
        </is>
      </c>
      <c r="E15" s="5" t="inlineStr">
        <is>
          <t>derived</t>
        </is>
      </c>
      <c r="F15" s="5" t="inlineStr">
        <is>
          <t>15000</t>
        </is>
      </c>
      <c r="G15" s="5" t="inlineStr">
        <is>
          <t>No archived source states an installed transformer MVA total. The 2026 ISP states 4 x 1,500 MVA 500/330/33 kV transformers at the committed Merotherie substation, 3 x 1,500 MVA at the Expansion's Merotherie-B and 3 x 1,500 MVA at the expanded Elong Elong; (4+3+3) x 1,500 = 15,000 MVA. The figure therefore mixes committed and future scope. Inputs: CWO-AO-2026-TX-MEROTHERIE-A, CWO-AO-2026-TX-MEROTHERIE-B, CWO-AO-2026-TX-ELONG.</t>
        </is>
      </c>
      <c r="H15" s="5" t="inlineStr">
        <is>
          <t>CWO-22</t>
        </is>
      </c>
      <c r="I15" s="5" t="inlineStr">
        <is>
          <t>CWO-22 PDF pp23, 57</t>
        </is>
      </c>
      <c r="J15" s="5" t="n"/>
    </row>
    <row r="16">
      <c r="A16" s="6" t="inlineStr">
        <is>
          <t>Central-West Orana Renewable Energy Zone</t>
        </is>
      </c>
      <c r="B16" s="6" t="inlineStr">
        <is>
          <t>Central West Orana REZ</t>
        </is>
      </c>
      <c r="C16" s="6" t="inlineStr">
        <is>
          <t>feeder_lines_km</t>
        </is>
      </c>
      <c r="D16" s="6" t="inlineStr">
        <is>
          <t>150</t>
        </is>
      </c>
      <c r="E16" s="6" t="inlineStr">
        <is>
          <t>contradicted</t>
        </is>
      </c>
      <c r="F16" s="6" t="inlineStr"/>
      <c r="G16" s="6" t="inlineStr">
        <is>
          <t>Two archived sources state 150 km: the AER's remade determination states the hub to project 330 kV network will cover a corridor of around 150 km, and ACEREZ's own project page states the project consists of 150 km of 330kV transmission lines for generator connections. A third, the ASL statement of reasons for the Main authorisation, instead states the 330 kV H2P network from the Energy Hubs to 13 switching stations comprises a total of approximately 166 kilometres of transmission lines. All three describe the same H2P/generator-connection network boundary but state different lengths; the contradiction is retained unresolved. The H2P network is generator-funded and includes conditional separable portions, five of which were excluded in 2025.</t>
        </is>
      </c>
      <c r="H16" s="6" t="inlineStr">
        <is>
          <t>CWO-18; CWO-23; CWO-26</t>
        </is>
      </c>
      <c r="I16" s="6" t="inlineStr">
        <is>
          <t>CWO-18 PDF p11; CWO-23 PDF p10; CWO-26 web</t>
        </is>
      </c>
      <c r="J16" s="6" t="n"/>
    </row>
    <row r="17">
      <c r="A17" s="4" t="inlineStr">
        <is>
          <t>HumeLink</t>
        </is>
      </c>
      <c r="B17" s="4" t="inlineStr">
        <is>
          <t>HumeLink</t>
        </is>
      </c>
      <c r="C17" s="4" t="inlineStr">
        <is>
          <t>date</t>
        </is>
      </c>
      <c r="D17" s="4" t="inlineStr">
        <is>
          <t>2027</t>
        </is>
      </c>
      <c r="E17" s="4" t="inlineStr">
        <is>
          <t>supported</t>
        </is>
      </c>
      <c r="F17" s="4" t="inlineStr">
        <is>
          <t>December 2027</t>
        </is>
      </c>
      <c r="G17" s="4" t="inlineStr">
        <is>
          <t>AEMO's 2026 ISP Appendix A5 states HumeLink is a committed project expected to be completed by December 2027, and the delivery-scope table records 'Committed project December 2027'. The chart's 2027 is the calendar year of that date. Earlier dated targets (2025-26 in the 2020 ISP, July 2026 in the 2022 ISP, and Northern July 2026 / Southern December 2026 in feedback loop 3 and the 2024 ISP) are superseded observations; no archived source explains the change.</t>
        </is>
      </c>
      <c r="H17" s="4" t="inlineStr">
        <is>
          <t>HUM-AEMO-2026-ISP-A5</t>
        </is>
      </c>
      <c r="I17" s="4" t="inlineStr">
        <is>
          <t>18</t>
        </is>
      </c>
      <c r="J17" s="4" t="inlineStr">
        <is>
          <t>HUM-AO-2026-ISP-COMPLETION</t>
        </is>
      </c>
    </row>
    <row r="18">
      <c r="A18" s="5" t="inlineStr">
        <is>
          <t>HumeLink</t>
        </is>
      </c>
      <c r="B18" s="5" t="inlineStr">
        <is>
          <t>HumeLink</t>
        </is>
      </c>
      <c r="C18" s="5" t="inlineStr">
        <is>
          <t>cost_aud_billion</t>
        </is>
      </c>
      <c r="D18" s="5" t="inlineStr">
        <is>
          <t>4.9</t>
        </is>
      </c>
      <c r="E18" s="5" t="inlineStr">
        <is>
          <t>supported_with_boundary</t>
        </is>
      </c>
      <c r="F18" s="5" t="inlineStr">
        <is>
          <t>4892</t>
        </is>
      </c>
      <c r="G18" s="5" t="inlineStr">
        <is>
          <t>The only archived amount that rounds to $4.9 billion is AEMO's 2024 ISP expected cost of $4,892 million in June 2023 dollars, Class 3 (-5% to +12%), for the HumeLink candidate option. The 2026 ISP publishes no cost for HumeLink because it is now committed, so the chart's cell is two ISP vintages old. It is not the controlling regulatory amount: the AER determined $4,573.5 million across all stages (real 2022-23, excluding equity raising). Other dated amounts on other boundaries are Transgrid's $4,881m (June 2023 dollars, escalators and equity raising deducted), AEMO's feedback-loop total of $4.88 billion ($2022-23), and the NSW planning capital investment value of $4.8 billion. Whether the author intended the ISP estimate, the feedback-loop total, or a scope-complete total that also includes the separately actionable Wondalga switching station at $220 million cannot be determined from the workbook; see AUTHOR_DECISION_REQUIRED.</t>
        </is>
      </c>
      <c r="H18" s="5" t="inlineStr">
        <is>
          <t>HUM-AEMO-2024-ISP-A5; HUM-AER-2024-CPA2; HUM-AEMO-2023-FL3; HUM-NSW-2024-DECISION; HUM-AEMO-2026-ISP-A5</t>
        </is>
      </c>
      <c r="I18" s="5" t="inlineStr">
        <is>
          <t>HUM-AEMO-2024-ISP-A5 p22; HUM-AER-2024-CPA2 pp33-34; HUM-AEMO-2023-FL3 p2; HUM-NSW-2024-DECISION p3; HUM-AEMO-2026-ISP-A5 pp18-19, 48</t>
        </is>
      </c>
      <c r="J18" s="5" t="inlineStr">
        <is>
          <t>HUM-AO-2024-ISP-COST</t>
        </is>
      </c>
    </row>
    <row r="19">
      <c r="A19" s="5" t="inlineStr">
        <is>
          <t>HumeLink</t>
        </is>
      </c>
      <c r="B19" s="5" t="inlineStr">
        <is>
          <t>HumeLink</t>
        </is>
      </c>
      <c r="C19" s="5" t="inlineStr">
        <is>
          <t>network_capacity_gw</t>
        </is>
      </c>
      <c r="D19" s="5" t="inlineStr">
        <is>
          <t>2.2</t>
        </is>
      </c>
      <c r="E19" s="5" t="inlineStr">
        <is>
          <t>supported_with_boundary</t>
        </is>
      </c>
      <c r="F19" s="5" t="inlineStr">
        <is>
          <t>2200</t>
        </is>
      </c>
      <c r="G19" s="5" t="inlineStr">
        <is>
          <t>AEMO's 2026 ISP states that after HumeLink is in service the transfer capability between SNSW and CNSW will increase by 2,200 MW in both directions, and the 2024 ISP reports 2,200 MW in both directions as additional network capacity. That is a direction-specific transfer-capability increase on one flow path, not a rating of the line or a single 'network capacity'. The workbook does not define the column. Different dated measures exist for the same project: 2,570 MW of additional firm capacity or generation accommodated (PADR and PACR), 2,230-2,570 MW of Tumut to Sydney transfer uplift (2020 ISP), and REZ hosting figures of +1,000 MW at Wagga Wagga (2020 ISP) and 400 MW in N5 / 2,200 MW in N6+N7 (2026 ISP).</t>
        </is>
      </c>
      <c r="H19" s="5" t="inlineStr">
        <is>
          <t>HUM-AEMO-2026-ISP-A5; HUM-AEMO-2024-ISP-A5; HUM-TG-2021-PACR; HUM-AEMO-2020-ISP-A3</t>
        </is>
      </c>
      <c r="I19" s="5" t="inlineStr">
        <is>
          <t>HUM-AEMO-2026-ISP-A5 p18; HUM-AEMO-2024-ISP-A5 p22; HUM-TG-2021-PACR p34; HUM-AEMO-2020-ISP-A3 p29</t>
        </is>
      </c>
      <c r="J19" s="5" t="inlineStr">
        <is>
          <t>HUM-AO-2026-ISP-CAPACITY</t>
        </is>
      </c>
    </row>
    <row r="20">
      <c r="A20" s="5" t="inlineStr">
        <is>
          <t>HumeLink</t>
        </is>
      </c>
      <c r="B20" s="5" t="inlineStr">
        <is>
          <t>HumeLink</t>
        </is>
      </c>
      <c r="C20" s="5" t="inlineStr">
        <is>
          <t>trunk_km</t>
        </is>
      </c>
      <c r="D20" s="5" t="inlineStr">
        <is>
          <t>365</t>
        </is>
      </c>
      <c r="E20" s="5" t="inlineStr">
        <is>
          <t>supported_with_boundary</t>
        </is>
      </c>
      <c r="F20" s="5" t="inlineStr">
        <is>
          <t>365</t>
        </is>
      </c>
      <c r="G20" s="5" t="inlineStr">
        <is>
          <t>The NSW planning decision approves development of around 365 kilometres of new double circuit 500 kV transmission lines, and the 2026 ISP records -365 km when HumeLink moved from actionable to committed. Neither source labels the metric, so route-km versus circuit-km is unresolved and is not resolved here. Two other archived lengths exist on other bases: approximately 630 km of upgrades (2020 ISP, before the all-double-circuit refinement, where the PADR's three sections were 260 km, 110 km and 260 km) and around 360 km (AER 2022 and AER 2023). The chart defines trunk km as total distance rated at 500 kV; the Gugaa to Wagga Wagga line is built to 500 kV but initially operated at 330 kV and its length is not stated anywhere in the archive.</t>
        </is>
      </c>
      <c r="H20" s="5" t="inlineStr">
        <is>
          <t>HUM-NSW-2024-DECISION; HUM-AEMO-2026-ISP-A5; HUM-AEMO-2020-ISP-A3; HUM-AER-2022-CPA1P1; HUM-AER-2023-CPA1P2</t>
        </is>
      </c>
      <c r="I20" s="5" t="inlineStr">
        <is>
          <t>HUM-NSW-2024-DECISION p1; HUM-AEMO-2026-ISP-A5 p12; HUM-AEMO-2020-ISP-A3 p29; HUM-AER-2022-CPA1P1 p9; HUM-AER-2023-CPA1P2 p8</t>
        </is>
      </c>
      <c r="J20" s="5" t="inlineStr">
        <is>
          <t>HUM-AO-2024-PLANNING-LENGTH</t>
        </is>
      </c>
    </row>
    <row r="21">
      <c r="A21" s="5" t="inlineStr">
        <is>
          <t>HumeLink</t>
        </is>
      </c>
      <c r="B21" s="5" t="inlineStr">
        <is>
          <t>HumeLink</t>
        </is>
      </c>
      <c r="C21" s="5" t="inlineStr">
        <is>
          <t>millions_per_trunk_km</t>
        </is>
      </c>
      <c r="D21" s="5" t="inlineStr">
        <is>
          <t>13.424657534246577</t>
        </is>
      </c>
      <c r="E21" s="5" t="inlineStr">
        <is>
          <t>derived</t>
        </is>
      </c>
      <c r="F21" s="5" t="inlineStr">
        <is>
          <t>13.424657534246577</t>
        </is>
      </c>
      <c r="G21" s="5" t="inlineStr">
        <is>
          <t>The cell is the chart's own arithmetic: 4,900 divided by 365 = 13.4247. Its inputs are the chart's cost cell and trunk km cell, not two sourced observations on a common boundary, and no archived source publishes a cost per kilometre for HumeLink. Substituting the AER all-stage allowance (HUM-AO-2024-AER-ALLSTAGE, $4,573.5m) over the same 365 km gives 12.53; substituting the 2020 ISP's 630 km over the 2024 ISP cost (HUM-AO-2024-ISP-COST) gives 7.77. The ratio therefore carries the boundary problems of both inputs.</t>
        </is>
      </c>
      <c r="H21" s="5" t="inlineStr">
        <is>
          <t>HUM-AEMO-2024-ISP-A5; HUM-NSW-2024-DECISION</t>
        </is>
      </c>
      <c r="I21" s="5" t="inlineStr">
        <is>
          <t>HUM-AEMO-2024-ISP-A5 p22; HUM-NSW-2024-DECISION p1</t>
        </is>
      </c>
      <c r="J21" s="5" t="n"/>
    </row>
    <row r="22">
      <c r="A22" s="5" t="inlineStr">
        <is>
          <t>HumeLink</t>
        </is>
      </c>
      <c r="B22" s="5" t="inlineStr">
        <is>
          <t>HumeLink</t>
        </is>
      </c>
      <c r="C22" s="5" t="inlineStr">
        <is>
          <t>circuits</t>
        </is>
      </c>
      <c r="D22" s="5" t="inlineStr">
        <is>
          <t>2</t>
        </is>
      </c>
      <c r="E22" s="5" t="inlineStr">
        <is>
          <t>supported_with_boundary</t>
        </is>
      </c>
      <c r="F22" s="5" t="inlineStr">
        <is>
          <t>2</t>
        </is>
      </c>
      <c r="G22" s="5" t="inlineStr">
        <is>
          <t>Transgrid confirmed to the AER that in all-double-circuit Option 3C two circuits are constructed on one double circuit transmission tower, i.e. one line of towers, and that the preferred option is a complete double circuit configuration between all three substation locations. So 2 circuits is correct for a single line section. The project as a whole is three such sections: the 2026 ISP lists three new 500 kV transmission circuits between Maragle-Bannaby, Maragle-Gugaa and Gugaa-Bannaby, and the 2024 ISP adds that these circuits are built on double circuit transmission structures. Read against the workbook's definition ('New parallel 500kV circuits added') the chart's 2 counts one section, not the project. The archive uses 'lines' (2021 PACR) and 'circuits' (2026 ISP) for the same three elements and does not reconcile the terms.</t>
        </is>
      </c>
      <c r="H22" s="5" t="inlineStr">
        <is>
          <t>HUM-TG-2021-RFI1; HUM-AEMO-2026-ISP-A5; HUM-AEMO-2024-ISP-A5; HUM-TG-2021-PACR</t>
        </is>
      </c>
      <c r="I22" s="5" t="inlineStr">
        <is>
          <t>HUM-TG-2021-RFI1 p2; HUM-AEMO-2026-ISP-A5 p18; HUM-AEMO-2024-ISP-A5 p22; HUM-TG-2021-PACR pp2, 30, 34</t>
        </is>
      </c>
      <c r="J22" s="5" t="inlineStr">
        <is>
          <t>HUM-AO-2021-RFI-CIRCUITS</t>
        </is>
      </c>
    </row>
    <row r="23">
      <c r="A23" s="5" t="inlineStr">
        <is>
          <t>HumeLink</t>
        </is>
      </c>
      <c r="B23" s="5" t="inlineStr">
        <is>
          <t>HumeLink</t>
        </is>
      </c>
      <c r="C23" s="5" t="inlineStr">
        <is>
          <t>lines</t>
        </is>
      </c>
      <c r="D23" s="5" t="inlineStr">
        <is>
          <t>1</t>
        </is>
      </c>
      <c r="E23" s="5" t="inlineStr">
        <is>
          <t>supported_with_boundary</t>
        </is>
      </c>
      <c r="F23" s="5" t="inlineStr">
        <is>
          <t>3</t>
        </is>
      </c>
      <c r="G23" s="5" t="inlineStr">
        <is>
          <t>The archived scope is three new 500 kV transmission lines forming an electrical loop between Maragle, Wagga Wagga and Bannaby, each constructed double-circuit, which is three lines of towers under the workbook's definition ('Number of lines of towers'), not one. The chart's 1 is correct only for a single section. A further separate line is in scope: a new 500 kV double-circuit line between Gugaa and Wagga Wagga initially operated at 330 kV. The PACR also warns that its schematic lines represent circuits and are not intended to represent transmission line routes, so the count depends on which convention the author is using.</t>
        </is>
      </c>
      <c r="H23" s="5" t="inlineStr">
        <is>
          <t>HUM-TG-2021-PACR; HUM-AEMO-2026-ISP-A5; HUM-TG-2021-RFI1</t>
        </is>
      </c>
      <c r="I23" s="5" t="inlineStr">
        <is>
          <t>HUM-TG-2021-PACR pp30, 34; HUM-AEMO-2026-ISP-A5 pp18-19; HUM-TG-2021-RFI1 p2</t>
        </is>
      </c>
      <c r="J23" s="5" t="inlineStr">
        <is>
          <t>HUM-AO-2021-PACR-LINES</t>
        </is>
      </c>
    </row>
    <row r="24">
      <c r="A24" s="5" t="inlineStr">
        <is>
          <t>HumeLink</t>
        </is>
      </c>
      <c r="B24" s="5" t="inlineStr">
        <is>
          <t>HumeLink</t>
        </is>
      </c>
      <c r="C24" s="5" t="inlineStr">
        <is>
          <t>alt_routes</t>
        </is>
      </c>
      <c r="D24" s="5" t="inlineStr">
        <is>
          <t>0</t>
        </is>
      </c>
      <c r="E24" s="5" t="inlineStr">
        <is>
          <t>judgment</t>
        </is>
      </c>
      <c r="F24" s="5" t="inlineStr"/>
      <c r="G24" s="5" t="inlineStr">
        <is>
          <t>Alternative geographically separated corridors are an author definition that no archived source supplies; per the contract alt_routes is always a judgment. The archive contains competing, unresolved statements about route diversity rather than a count: the PADR treated the loop as offering greater route-diversity opportunity while deferring final diversity decisions; Wunelli alleged the developed 3C configuration had limited diversity potential; and the AER rejected the route-diversity grounds of the dispute while requiring a different option (1C-new) to be added. September 2021 route changes removed two proposed segments and added a Gilmore Valley connection. None of this establishes a corridor count of 0 or any other number.</t>
        </is>
      </c>
      <c r="H24" s="5" t="inlineStr">
        <is>
          <t>HUM-TG-2020-PADR; HUM-WUN-2021-DISPUTE; HUM-AER-2021-DISPUTE-DETERMINATION; HUM-TG-2021-NEWS-SEP</t>
        </is>
      </c>
      <c r="I24" s="5" t="inlineStr">
        <is>
          <t>HUM-TG-2020-PADR p6; HUM-WUN-2021-DISPUTE pp1-2; HUM-AER-2021-DISPUTE-DETERMINATION pp20, 26; HUM-TG-2021-NEWS-SEP p2</t>
        </is>
      </c>
      <c r="J24" s="5" t="n"/>
    </row>
    <row r="25">
      <c r="A25" s="6" t="inlineStr">
        <is>
          <t>HumeLink</t>
        </is>
      </c>
      <c r="B25" s="6" t="inlineStr">
        <is>
          <t>HumeLink</t>
        </is>
      </c>
      <c r="C25" s="6" t="inlineStr">
        <is>
          <t>syncons_mva</t>
        </is>
      </c>
      <c r="D25" s="6" t="inlineStr">
        <is>
          <t>0</t>
        </is>
      </c>
      <c r="E25" s="6" t="inlineStr">
        <is>
          <t>gap</t>
        </is>
      </c>
      <c r="F25" s="6" t="inlineStr"/>
      <c r="G25" s="6" t="inlineStr">
        <is>
          <t>No archived source states that HumeLink includes no synchronous condensers. The scope lists in the 2021 PACR, the 2024 ISP and the 2026 ISP name transformers, line shunt reactors and substation augmentations and do not mention synchronous condensers, but silence is not a stated absence and the contract forbids backfilling the chart value.</t>
        </is>
      </c>
      <c r="H25" s="6" t="inlineStr">
        <is>
          <t>HUM-AEMO-2026-ISP-A5; HUM-AEMO-2024-ISP-A5; HUM-TG-2021-PACR</t>
        </is>
      </c>
      <c r="I25" s="6" t="inlineStr">
        <is>
          <t>HUM-AEMO-2026-ISP-A5 pp18-19; HUM-AEMO-2024-ISP-A5 p22; HUM-TG-2021-PACR p34</t>
        </is>
      </c>
      <c r="J25" s="6" t="n"/>
    </row>
    <row r="26">
      <c r="A26" s="6" t="inlineStr">
        <is>
          <t>HumeLink</t>
        </is>
      </c>
      <c r="B26" s="6" t="inlineStr">
        <is>
          <t>HumeLink</t>
        </is>
      </c>
      <c r="C26" s="6" t="inlineStr">
        <is>
          <t>hubs</t>
        </is>
      </c>
      <c r="D26" s="6" t="inlineStr">
        <is>
          <t>0</t>
        </is>
      </c>
      <c r="E26" s="6" t="inlineStr">
        <is>
          <t>gap</t>
        </is>
      </c>
      <c r="F26" s="6" t="inlineStr"/>
      <c r="G26" s="6" t="inlineStr">
        <is>
          <t>The workbook's notes define trunk km, circuits, lines, alt routes, syncons, transformers and feeder lines but never define 'Hubs', and no archived HumeLink source counts hubs or states that there are none. Nothing archived supports or contradicts the 0.</t>
        </is>
      </c>
      <c r="H26" s="6" t="inlineStr"/>
      <c r="I26" s="6" t="inlineStr"/>
      <c r="J26" s="6" t="n"/>
    </row>
    <row r="27">
      <c r="A27" s="5" t="inlineStr">
        <is>
          <t>HumeLink</t>
        </is>
      </c>
      <c r="B27" s="5" t="inlineStr">
        <is>
          <t>HumeLink</t>
        </is>
      </c>
      <c r="C27" s="5" t="inlineStr">
        <is>
          <t>transformers</t>
        </is>
      </c>
      <c r="D27" s="5" t="inlineStr">
        <is>
          <t>7500</t>
        </is>
      </c>
      <c r="E27" s="5" t="inlineStr">
        <is>
          <t>derived</t>
        </is>
      </c>
      <c r="F27" s="5" t="inlineStr">
        <is>
          <t>7500</t>
        </is>
      </c>
      <c r="G27" s="5" t="inlineStr">
        <is>
          <t>7,500 MVA is the sum of the published unit ratings and counts: three 500/330 kV 1,500 MVA transformers at Maragle (HUM-AO-2026-ISP-TX-MARAGLE, count 3) plus two at the new Gugaa substation (HUM-AO-2026-ISP-TX-GUGAA, count 2), i.e. 5 x 1,500 MVA. No archived source publishes a cumulative MVA total; the addition is the chart's. The same five units are described in the 2021 PACR (as 500/330/33 kV at Maragle and the new Wagga Wagga substation) and in the 2020 ISP and 2024 ISP, so the scope has been stable since 2020.</t>
        </is>
      </c>
      <c r="H27" s="5" t="inlineStr">
        <is>
          <t>HUM-AEMO-2026-ISP-A5; HUM-AEMO-2024-ISP-A5; HUM-TG-2021-PACR; HUM-AEMO-2020-ISP-A3</t>
        </is>
      </c>
      <c r="I27" s="5" t="inlineStr">
        <is>
          <t>HUM-AEMO-2026-ISP-A5 p19; HUM-AEMO-2024-ISP-A5 p22; HUM-TG-2021-PACR p34; HUM-AEMO-2020-ISP-A3 p30</t>
        </is>
      </c>
      <c r="J27" s="5" t="inlineStr">
        <is>
          <t>HUM-AO-2026-ISP-TX-MARAGLE</t>
        </is>
      </c>
    </row>
    <row r="28">
      <c r="A28" s="6" t="inlineStr">
        <is>
          <t>HumeLink</t>
        </is>
      </c>
      <c r="B28" s="6" t="inlineStr">
        <is>
          <t>HumeLink</t>
        </is>
      </c>
      <c r="C28" s="6" t="inlineStr">
        <is>
          <t>feeder_lines_km</t>
        </is>
      </c>
      <c r="D28" s="6" t="inlineStr">
        <is>
          <t>0</t>
        </is>
      </c>
      <c r="E28" s="6" t="inlineStr">
        <is>
          <t>gap</t>
        </is>
      </c>
      <c r="F28" s="6" t="inlineStr"/>
      <c r="G28" s="6" t="inlineStr">
        <is>
          <t>No archived source states that HumeLink includes no lower-voltage feeder lines, so the 0 cannot be marked supported. The archive in fact describes lower-voltage connections inside the approved scope whose route lengths are not published: a new 500 kV double-circuit line between Gugaa and Wagga Wagga initially operated at 330 kV (2026 ISP; a 330 kV double circuit connection to the existing Wagga Wagga substation in the 2021 PACR), and a demolition and rebuild of around 2 km of Line 51 as a double circuit 330 kV line (NSW planning decision). Whether these meet the workbook's feeder-line definition, and what length to record, is unresolved.</t>
        </is>
      </c>
      <c r="H28" s="6" t="inlineStr">
        <is>
          <t>HUM-AEMO-2026-ISP-A5; HUM-NSW-2024-DECISION; HUM-TG-2021-PACR</t>
        </is>
      </c>
      <c r="I28" s="6" t="inlineStr">
        <is>
          <t>HUM-AEMO-2026-ISP-A5 p18; HUM-NSW-2024-DECISION p1; HUM-TG-2021-PACR p34</t>
        </is>
      </c>
      <c r="J28" s="6" t="n"/>
    </row>
    <row r="29">
      <c r="A29" s="4" t="inlineStr">
        <is>
          <t>Hunter Transmission Project</t>
        </is>
      </c>
      <c r="B29" s="4" t="inlineStr">
        <is>
          <t>Hunter Transmission Project</t>
        </is>
      </c>
      <c r="C29" s="4" t="inlineStr">
        <is>
          <t>date</t>
        </is>
      </c>
      <c r="D29" s="4" t="inlineStr">
        <is>
          <t>2029</t>
        </is>
      </c>
      <c r="E29" s="4" t="inlineStr">
        <is>
          <t>supported</t>
        </is>
      </c>
      <c r="F29" s="4" t="inlineStr">
        <is>
          <t>November 2029</t>
        </is>
      </c>
      <c r="G29" s="4" t="inlineStr">
        <is>
          <t>AEMO 2026 ISP Appendix A5 records timing advised by the proponent of November 2029, and states the project is scheduled to be completed by November 2029. The chart's 2029 is the calendar year of that date.</t>
        </is>
      </c>
      <c r="H29" s="4" t="inlineStr">
        <is>
          <t>HUM-AEMO-2026-ISP-A5</t>
        </is>
      </c>
      <c r="I29" s="4" t="inlineStr">
        <is>
          <t>38-39</t>
        </is>
      </c>
      <c r="J29" s="4" t="inlineStr">
        <is>
          <t>HTP-AO-2026-COMPLETION</t>
        </is>
      </c>
    </row>
    <row r="30">
      <c r="A30" s="4" t="inlineStr">
        <is>
          <t>Hunter Transmission Project</t>
        </is>
      </c>
      <c r="B30" s="4" t="inlineStr">
        <is>
          <t>Hunter Transmission Project</t>
        </is>
      </c>
      <c r="C30" s="4" t="inlineStr">
        <is>
          <t>cost_aud_billion</t>
        </is>
      </c>
      <c r="D30" s="4" t="inlineStr">
        <is>
          <t>1.36</t>
        </is>
      </c>
      <c r="E30" s="4" t="inlineStr">
        <is>
          <t>supported</t>
        </is>
      </c>
      <c r="F30" s="4" t="inlineStr">
        <is>
          <t>1364</t>
        </is>
      </c>
      <c r="G30" s="4" t="inlineStr">
        <is>
          <t>AEMO 2026 ISP Appendix A5 reports $1,364 million, Class 5b (±50%), for CNSW-SNW Option 1. The chart's $1.36bn is that amount expressed in billions. The dollar year is not stated in the table, and the 2024 ISP $1,099m and the May 2023 NSW Network Infrastructure Strategy Stage 1 figure of about $1 billion are separate non-comparable observations.</t>
        </is>
      </c>
      <c r="H30" s="4" t="inlineStr">
        <is>
          <t>HUM-AEMO-2026-ISP-A5</t>
        </is>
      </c>
      <c r="I30" s="4" t="inlineStr">
        <is>
          <t>39</t>
        </is>
      </c>
      <c r="J30" s="4" t="inlineStr">
        <is>
          <t>HTP-AO-2026-COST</t>
        </is>
      </c>
    </row>
    <row r="31">
      <c r="A31" s="5" t="inlineStr">
        <is>
          <t>Hunter Transmission Project</t>
        </is>
      </c>
      <c r="B31" s="5" t="inlineStr">
        <is>
          <t>Hunter Transmission Project</t>
        </is>
      </c>
      <c r="C31" s="5" t="inlineStr">
        <is>
          <t>network_capacity_gw</t>
        </is>
      </c>
      <c r="D31" s="5" t="inlineStr">
        <is>
          <t>5</t>
        </is>
      </c>
      <c r="E31" s="5" t="inlineStr">
        <is>
          <t>supported_with_boundary</t>
        </is>
      </c>
      <c r="F31" s="5" t="inlineStr">
        <is>
          <t>5000</t>
        </is>
      </c>
      <c r="G31" s="5" t="inlineStr">
        <is>
          <t>AEMO 2026 states forward additional network capacity of 5,000 MW, described as accommodation of additional new generation from north of Bayswater and 2/3 generation from Central West New South Wales, plus REZ N10: 2,000 MW. The boundary is a network hosting/transfer uplift across the CNSW-SNW flow path, not a rating of the single Olney-Bayswater South line; the EnergyCo strategy frames the same project as lifting supportable combined REZ output from 3 GW to as much as 8 GW.</t>
        </is>
      </c>
      <c r="H31" s="5" t="inlineStr">
        <is>
          <t>HUM-AEMO-2026-ISP-A5; CWO-04</t>
        </is>
      </c>
      <c r="I31" s="5" t="inlineStr">
        <is>
          <t>HUM-AEMO-2026-ISP-A5 pp38-39; CWO-04 p46</t>
        </is>
      </c>
      <c r="J31" s="5" t="inlineStr">
        <is>
          <t>HTP-AO-2026-CAPACITY-FORWARD</t>
        </is>
      </c>
    </row>
    <row r="32">
      <c r="A32" s="4" t="inlineStr">
        <is>
          <t>Hunter Transmission Project</t>
        </is>
      </c>
      <c r="B32" s="4" t="inlineStr">
        <is>
          <t>Hunter Transmission Project</t>
        </is>
      </c>
      <c r="C32" s="4" t="inlineStr">
        <is>
          <t>trunk_km</t>
        </is>
      </c>
      <c r="D32" s="4" t="inlineStr">
        <is>
          <t>110</t>
        </is>
      </c>
      <c r="E32" s="4" t="inlineStr">
        <is>
          <t>supported</t>
        </is>
      </c>
      <c r="F32" s="4" t="inlineStr">
        <is>
          <t>110</t>
        </is>
      </c>
      <c r="G32" s="4" t="inlineStr">
        <is>
          <t>EnergyCo's 2026 transmission infrastructure page states 'The new overhead 500 kV transmission line will span 110 kilometres, connecting existing transmission lines at Bayswater and Olney, near Eraring,' and the EnergyCo project page states 'a new, 110-kilometre, overhead 500 kilovolt (kV) transmission line between Bayswater in the Upper Hunter and Olney in the Lower Hunter.' No AEMO ISP appendix states a route length.</t>
        </is>
      </c>
      <c r="H32" s="4" t="inlineStr">
        <is>
          <t>HTP-ENERGYCO-2026-INFRA-PAGE; HTP-ENERGYCO-2026-PROJECT-PAGE</t>
        </is>
      </c>
      <c r="I32" s="4" t="inlineStr">
        <is>
          <t>HTP-ENERGYCO-2026-INFRA-PAGE web; HTP-ENERGYCO-2026-PROJECT-PAGE web</t>
        </is>
      </c>
      <c r="J32" s="4" t="inlineStr">
        <is>
          <t>HTP-AO-2026-ENERGYCO-TRUNK-KM</t>
        </is>
      </c>
    </row>
    <row r="33">
      <c r="A33" s="5" t="inlineStr">
        <is>
          <t>Hunter Transmission Project</t>
        </is>
      </c>
      <c r="B33" s="5" t="inlineStr">
        <is>
          <t>Hunter Transmission Project</t>
        </is>
      </c>
      <c r="C33" s="5" t="inlineStr">
        <is>
          <t>millions_per_trunk_km</t>
        </is>
      </c>
      <c r="D33" s="5" t="inlineStr">
        <is>
          <t>12.363636363636365</t>
        </is>
      </c>
      <c r="E33" s="5" t="inlineStr">
        <is>
          <t>derived</t>
        </is>
      </c>
      <c r="F33" s="5" t="inlineStr">
        <is>
          <t>12.363636363636365</t>
        </is>
      </c>
      <c r="G33" s="5" t="inlineStr">
        <is>
          <t>The chart's ratio is cost_aud_billion times 1000 divided by trunk_km: 1.36 * 1000 / 110 = 12.363636363636365. Both inputs are now archived: cost_aud_billion is the $1,364m AEMO 2026 ISP figure (HTP-AO-2026-COST) expressed and rounded to $1.36bn, and trunk_km is the 110 km EnergyCo route length (HTP-AO-2026-ENERGYCO-TRUNK-KM). This reproduces the chart's existing cell exactly; no new value is computed.</t>
        </is>
      </c>
      <c r="H33" s="5" t="inlineStr">
        <is>
          <t>HUM-AEMO-2026-ISP-A5; HTP-ENERGYCO-2026-INFRA-PAGE; HTP-ENERGYCO-2026-PROJECT-PAGE</t>
        </is>
      </c>
      <c r="I33" s="5" t="inlineStr">
        <is>
          <t>HUM-AEMO-2026-ISP-A5 p39; HTP-ENERGYCO-2026-INFRA-PAGE web; HTP-ENERGYCO-2026-PROJECT-PAGE web</t>
        </is>
      </c>
      <c r="J33" s="5" t="n"/>
    </row>
    <row r="34">
      <c r="A34" s="4" t="inlineStr">
        <is>
          <t>Hunter Transmission Project</t>
        </is>
      </c>
      <c r="B34" s="4" t="inlineStr">
        <is>
          <t>Hunter Transmission Project</t>
        </is>
      </c>
      <c r="C34" s="4" t="inlineStr">
        <is>
          <t>circuits</t>
        </is>
      </c>
      <c r="D34" s="4" t="inlineStr">
        <is>
          <t>2</t>
        </is>
      </c>
      <c r="E34" s="4" t="inlineStr">
        <is>
          <t>supported</t>
        </is>
      </c>
      <c r="F34" s="4" t="inlineStr">
        <is>
          <t>2</t>
        </is>
      </c>
      <c r="G34" s="4" t="inlineStr">
        <is>
          <t>AEMO 2026 describes 'A new 500 kV double-circuit line between Olney substation and Bayswater South substation'; a double-circuit line carries two circuits. AEMO 2024 uses the same double-circuit wording for the near Eraring to near Bayswater line. EnergyCo's 2026 transmission infrastructure page corroborates this: 'It will be supported by double-circuit steel lattice towers,' adding a physical boundary (towers up to 85 m tall, generally spaced 300-600 m apart) without changing the two-circuit count.</t>
        </is>
      </c>
      <c r="H34" s="4" t="inlineStr">
        <is>
          <t>HUM-AEMO-2026-ISP-A5; HUM-AEMO-2024-ISP-A5; HTP-ENERGYCO-2026-INFRA-PAGE</t>
        </is>
      </c>
      <c r="I34" s="4" t="inlineStr">
        <is>
          <t>HUM-AEMO-2026-ISP-A5 p39; HUM-AEMO-2024-ISP-A5 p24; HTP-ENERGYCO-2026-INFRA-PAGE web</t>
        </is>
      </c>
      <c r="J34" s="4" t="inlineStr">
        <is>
          <t>HTP-AO-2026-CIRCUITS</t>
        </is>
      </c>
    </row>
    <row r="35">
      <c r="A35" s="4" t="inlineStr">
        <is>
          <t>Hunter Transmission Project</t>
        </is>
      </c>
      <c r="B35" s="4" t="inlineStr">
        <is>
          <t>Hunter Transmission Project</t>
        </is>
      </c>
      <c r="C35" s="4" t="inlineStr">
        <is>
          <t>lines</t>
        </is>
      </c>
      <c r="D35" s="4" t="inlineStr">
        <is>
          <t>1</t>
        </is>
      </c>
      <c r="E35" s="4" t="inlineStr">
        <is>
          <t>supported</t>
        </is>
      </c>
      <c r="F35" s="4" t="inlineStr">
        <is>
          <t>1</t>
        </is>
      </c>
      <c r="G35" s="4" t="inlineStr">
        <is>
          <t>AEMO 2026 describes a single new 500 kV double-circuit line between Olney and Bayswater South substations. EnergyCo's 2026 pages corroborate a single line and add a route boundary: the transmission infrastructure page states 'The new overhead 500 kV transmission line will span 110 kilometres, connecting existing transmission lines at Bayswater and Olney, near Eraring,' and the project page adds that it will 'create a 500 kV ring of transmission infrastructure' by connecting to the state's existing 500 kV lines.</t>
        </is>
      </c>
      <c r="H35" s="4" t="inlineStr">
        <is>
          <t>HUM-AEMO-2026-ISP-A5; HTP-ENERGYCO-2026-INFRA-PAGE; HTP-ENERGYCO-2026-PROJECT-PAGE</t>
        </is>
      </c>
      <c r="I35" s="4" t="inlineStr">
        <is>
          <t>HUM-AEMO-2026-ISP-A5 p39; HTP-ENERGYCO-2026-INFRA-PAGE web; HTP-ENERGYCO-2026-PROJECT-PAGE web</t>
        </is>
      </c>
      <c r="J35" s="4" t="inlineStr">
        <is>
          <t>HTP-AO-2026-LINES</t>
        </is>
      </c>
    </row>
    <row r="36">
      <c r="A36" s="5" t="inlineStr">
        <is>
          <t>Hunter Transmission Project</t>
        </is>
      </c>
      <c r="B36" s="5" t="inlineStr">
        <is>
          <t>Hunter Transmission Project</t>
        </is>
      </c>
      <c r="C36" s="5" t="inlineStr">
        <is>
          <t>alt_routes</t>
        </is>
      </c>
      <c r="D36" s="5" t="inlineStr">
        <is>
          <t>1</t>
        </is>
      </c>
      <c r="E36" s="5" t="inlineStr">
        <is>
          <t>judgment</t>
        </is>
      </c>
      <c r="F36" s="5" t="inlineStr"/>
      <c r="G36" s="5" t="inlineStr">
        <is>
          <t>Route diversity is an author definition. The author counts 1 because completing the northern Sydney Ring gives an alternative 500 kV path south from Bayswater, discounting sections that parallel the existing 330 kV corridor. Archived sources make network-flow and enabled-generation claims only; no captured source counts alternative routes. The NSW Network Infrastructure Strategy's third-corridor indication for HTP Stage 2 is a map feature and does not appear in the archived text derivative, so it is not cited.</t>
        </is>
      </c>
      <c r="H36" s="5" t="inlineStr"/>
      <c r="I36" s="5" t="inlineStr"/>
      <c r="J36" s="5" t="n"/>
    </row>
    <row r="37">
      <c r="A37" s="6" t="inlineStr">
        <is>
          <t>Hunter Transmission Project</t>
        </is>
      </c>
      <c r="B37" s="6" t="inlineStr">
        <is>
          <t>Hunter Transmission Project</t>
        </is>
      </c>
      <c r="C37" s="6" t="inlineStr">
        <is>
          <t>syncons_mva</t>
        </is>
      </c>
      <c r="D37" s="6" t="inlineStr">
        <is>
          <t>0</t>
        </is>
      </c>
      <c r="E37" s="6" t="inlineStr">
        <is>
          <t>gap</t>
        </is>
      </c>
      <c r="F37" s="6" t="inlineStr"/>
      <c r="G37" s="6" t="inlineStr">
        <is>
          <t>No archived source states that the project includes or excludes synchronous condensers. AEMO's 2026 scope list does not mention syncons, but absence from a scope list is not a stated absence, and the Transgrid system strength PACR the author relies on was not captured.</t>
        </is>
      </c>
      <c r="H37" s="6" t="inlineStr"/>
      <c r="I37" s="6" t="inlineStr"/>
      <c r="J37" s="6" t="n"/>
    </row>
    <row r="38">
      <c r="A38" s="6" t="inlineStr">
        <is>
          <t>Hunter Transmission Project</t>
        </is>
      </c>
      <c r="B38" s="6" t="inlineStr">
        <is>
          <t>Hunter Transmission Project</t>
        </is>
      </c>
      <c r="C38" s="6" t="inlineStr">
        <is>
          <t>hubs</t>
        </is>
      </c>
      <c r="D38" s="6" t="inlineStr">
        <is>
          <t>0</t>
        </is>
      </c>
      <c r="E38" s="6" t="inlineStr">
        <is>
          <t>gap</t>
        </is>
      </c>
      <c r="F38" s="6" t="inlineStr"/>
      <c r="G38" s="6" t="inlineStr">
        <is>
          <t>No archived source states that the project provides zero connection hubs. The author's reasoning is that HTP is not a REZ and so hosts no renewable connection hubs; the archived sources list switching stations and substations without counting hubs either way.</t>
        </is>
      </c>
      <c r="H38" s="6" t="inlineStr"/>
      <c r="I38" s="6" t="inlineStr"/>
      <c r="J38" s="6" t="n"/>
    </row>
    <row r="39">
      <c r="A39" s="4" t="inlineStr">
        <is>
          <t>Hunter Transmission Project</t>
        </is>
      </c>
      <c r="B39" s="4" t="inlineStr">
        <is>
          <t>Hunter Transmission Project</t>
        </is>
      </c>
      <c r="C39" s="4" t="inlineStr">
        <is>
          <t>transformers</t>
        </is>
      </c>
      <c r="D39" s="4" t="inlineStr">
        <is>
          <t>3000</t>
        </is>
      </c>
      <c r="E39" s="4" t="inlineStr">
        <is>
          <t>supported</t>
        </is>
      </c>
      <c r="F39" s="4" t="inlineStr">
        <is>
          <t>3000</t>
        </is>
      </c>
      <c r="G39" s="4" t="inlineStr">
        <is>
          <t>AEMO 2026 and AEMO 2024 both state 'Two 500/330 kV 1,500 MVA transformers at Eraring substation'. The chart's 3000 is the two stated 1,500 MVA units expressed as a combined MVA figure; the sources state the unit rating and the count, not the combined figure.</t>
        </is>
      </c>
      <c r="H39" s="4" t="inlineStr">
        <is>
          <t>HUM-AEMO-2026-ISP-A5; HUM-AEMO-2024-ISP-A5</t>
        </is>
      </c>
      <c r="I39" s="4" t="inlineStr">
        <is>
          <t>HUM-AEMO-2026-ISP-A5 p39; HUM-AEMO-2024-ISP-A5 p24</t>
        </is>
      </c>
      <c r="J39" s="4" t="inlineStr">
        <is>
          <t>HTP-AO-2026-TRANSFORMERS</t>
        </is>
      </c>
    </row>
    <row r="40">
      <c r="A40" s="6" t="inlineStr">
        <is>
          <t>Hunter Transmission Project</t>
        </is>
      </c>
      <c r="B40" s="6" t="inlineStr">
        <is>
          <t>Hunter Transmission Project</t>
        </is>
      </c>
      <c r="C40" s="6" t="inlineStr">
        <is>
          <t>feeder_lines_km</t>
        </is>
      </c>
      <c r="D40" s="6" t="inlineStr">
        <is>
          <t>0</t>
        </is>
      </c>
      <c r="E40" s="6" t="inlineStr">
        <is>
          <t>gap</t>
        </is>
      </c>
      <c r="F40" s="6" t="inlineStr"/>
      <c r="G40" s="6" t="inlineStr">
        <is>
          <t>No archived source states that the project includes or excludes hub-to-project feeder lines. The author's zero rests on EIS Table 4.1, which was not captured (NSW planning portal returned HTTP 404 on both routes).</t>
        </is>
      </c>
      <c r="H40" s="6" t="inlineStr"/>
      <c r="I40" s="6" t="inlineStr"/>
      <c r="J40" s="6" t="n"/>
    </row>
    <row r="41">
      <c r="A41" s="5" t="inlineStr">
        <is>
          <t>Project Marinus</t>
        </is>
      </c>
      <c r="B41" s="5" t="inlineStr">
        <is>
          <t>Marinus Link 1 &amp; 2</t>
        </is>
      </c>
      <c r="C41" s="5" t="inlineStr">
        <is>
          <t>date</t>
        </is>
      </c>
      <c r="D41" s="5" t="inlineStr">
        <is>
          <t>2034</t>
        </is>
      </c>
      <c r="E41" s="5" t="inlineStr">
        <is>
          <t>supported_with_boundary</t>
        </is>
      </c>
      <c r="F41" s="5" t="inlineStr">
        <is>
          <t>December 2034 (Stage 2 proponent timing); Stage 1 December 2030</t>
        </is>
      </c>
      <c r="G41" s="5" t="inlineStr">
        <is>
          <t>AEMO 2026 ISP reports proponent timing of December 2034 for Stage 2 and December 2030 for the anticipated Stage 1. The chart carries the later stage only, so the row's date does not describe when the first 750 MW link operates, and neither date is an actual completion.</t>
        </is>
      </c>
      <c r="H41" s="5" t="inlineStr">
        <is>
          <t>HUM-AEMO-2026-ISP-A5</t>
        </is>
      </c>
      <c r="I41" s="5" t="inlineStr">
        <is>
          <t>26, 59</t>
        </is>
      </c>
      <c r="J41" s="5" t="inlineStr">
        <is>
          <t>ML-AO-2026-STAGE2-COMPLETION</t>
        </is>
      </c>
    </row>
    <row r="42">
      <c r="A42" s="6" t="inlineStr">
        <is>
          <t>Project Marinus</t>
        </is>
      </c>
      <c r="B42" s="6" t="inlineStr">
        <is>
          <t>Marinus Link 1 &amp; 2</t>
        </is>
      </c>
      <c r="C42" s="6" t="inlineStr">
        <is>
          <t>cost_aud_billion</t>
        </is>
      </c>
      <c r="D42" s="6" t="inlineStr">
        <is>
          <t>5.5</t>
        </is>
      </c>
      <c r="E42" s="6" t="inlineStr">
        <is>
          <t>contradicted</t>
        </is>
      </c>
      <c r="F42" s="6" t="inlineStr">
        <is>
          <t>7570 AUD million in $2023 (Stage 1 $5,035m plus Stage 2 $2,535m, as reported by AEMO)</t>
        </is>
      </c>
      <c r="G42" s="6" t="inlineStr">
        <is>
          <t>No archived source states $5.5 billion for any Project Marinus boundary. For the chart's own boundary (Marinus Link 1 &amp; 2) AEMO's 2026 feedback-loop assessment reports a total project cost of $7,570 million in $2023. Separately stated observations range from $3,481m (2021 PACR, $2020) to $5,035m Stage 1 plus $2,535m Stage 2 ($2023). NWTD ($1,144m plus $525m) is excluded from these figures. Separately, the September 2025 joint ministerial release reports $3.8bn CEFC funding secured for Stage 1 at financial close, alongside unstated equity commitments from the Commonwealth, Tasmania and Victoria; this is a funding/debt figure for Stage 1 only, not a total project cost, and does not state $5.5bn for any boundary either.</t>
        </is>
      </c>
      <c r="H42" s="6" t="inlineStr">
        <is>
          <t>HUM-AEMO-2026-ISP-A5; ML-TN-2025-RITT; HUM-AEMO-2024-ISP-A5; ML-TN-2021-PACR; ML-DCCEEW-2025-FID</t>
        </is>
      </c>
      <c r="I42" s="6" t="inlineStr">
        <is>
          <t>HUM-AEMO-2026-ISP-A5 p59; ML-TN-2025-RITT p18; HUM-AEMO-2024-ISP-A5 p37; ML-TN-2021-PACR p16; ML-DCCEEW-2025-FID web</t>
        </is>
      </c>
      <c r="J42" s="6" t="inlineStr">
        <is>
          <t>ML-AO-2026-FL-TOTAL</t>
        </is>
      </c>
    </row>
    <row r="43">
      <c r="A43" s="6" t="inlineStr">
        <is>
          <t>Project Marinus</t>
        </is>
      </c>
      <c r="B43" s="6" t="inlineStr">
        <is>
          <t>Marinus Link 1 &amp; 2</t>
        </is>
      </c>
      <c r="C43" s="6" t="inlineStr">
        <is>
          <t>network_capacity_gw</t>
        </is>
      </c>
      <c r="D43" s="6" t="inlineStr">
        <is>
          <t>1.4</t>
        </is>
      </c>
      <c r="E43" s="6" t="inlineStr">
        <is>
          <t>contradicted</t>
        </is>
      </c>
      <c r="F43" s="6" t="inlineStr">
        <is>
          <t>1.5 GW (1,500 MW nameplate, as two 750 MW HVDC links)</t>
        </is>
      </c>
      <c r="G43" s="6" t="inlineStr">
        <is>
          <t>Every archived planner and proponent source states 1,500 MW, not 1,400 MW. AEMO separately reports directional combined transfer limits with Basslink of 1,728 MW (VIC to TAS) and 2,094 MW (TAS to VIC), so 1.4 GW matches neither the nameplate nor a stated transfer limit.</t>
        </is>
      </c>
      <c r="H43" s="6" t="inlineStr">
        <is>
          <t>HUM-AEMO-2026-ISP-A5; ML-TN-2021-PACR</t>
        </is>
      </c>
      <c r="I43" s="6" t="inlineStr">
        <is>
          <t>HUM-AEMO-2026-ISP-A5 pp26, 58-59; ML-TN-2021-PACR p77</t>
        </is>
      </c>
      <c r="J43" s="6" t="inlineStr">
        <is>
          <t>ML-AO-2026-CAPACITY-TOTAL</t>
        </is>
      </c>
    </row>
    <row r="44">
      <c r="A44" s="5" t="inlineStr">
        <is>
          <t>Project Marinus</t>
        </is>
      </c>
      <c r="B44" s="5" t="inlineStr">
        <is>
          <t>Marinus Link 1 &amp; 2</t>
        </is>
      </c>
      <c r="C44" s="5" t="inlineStr">
        <is>
          <t>trunk_km</t>
        </is>
      </c>
      <c r="D44" s="5" t="inlineStr">
        <is>
          <t>345</t>
        </is>
      </c>
      <c r="E44" s="5" t="inlineStr">
        <is>
          <t>derived</t>
        </is>
      </c>
      <c r="F44" s="5" t="inlineStr">
        <is>
          <t>255 km subsea HVDC cable and 90 km underground HVDC cable in Victoria, stated separately</t>
        </is>
      </c>
      <c r="G44" s="5" t="inlineStr">
        <is>
          <t>345 is the sum of ML-AO-2025-LENGTH-SUBSEA (255 km) and ML-AO-2025-LENGTH-UNDERGROUND (90 km). No archived source states a combined 345 km figure, and both components are approximate HVDC cable lengths, not the chart's definition of distance rated at 500 kV. The 220 kV NWTD line lengths are not stated in any archived source.</t>
        </is>
      </c>
      <c r="H44" s="5" t="inlineStr">
        <is>
          <t>ML-TN-2025-RITT</t>
        </is>
      </c>
      <c r="I44" s="5" t="inlineStr">
        <is>
          <t>6</t>
        </is>
      </c>
      <c r="J44" s="5" t="inlineStr">
        <is>
          <t>ML-AO-2025-LENGTH-SUBSEA</t>
        </is>
      </c>
    </row>
    <row r="45">
      <c r="A45" s="5" t="inlineStr">
        <is>
          <t>Project Marinus</t>
        </is>
      </c>
      <c r="B45" s="5" t="inlineStr">
        <is>
          <t>Marinus Link 1 &amp; 2</t>
        </is>
      </c>
      <c r="C45" s="5" t="inlineStr">
        <is>
          <t>millions_per_trunk_km</t>
        </is>
      </c>
      <c r="D45" s="5">
        <f>C11/E11 *1000</f>
        <v/>
      </c>
      <c r="E45" s="5" t="inlineStr">
        <is>
          <t>derived</t>
        </is>
      </c>
      <c r="F45" s="5" t="inlineStr"/>
      <c r="G45" s="5" t="inlineStr">
        <is>
          <t>A workbook formula dividing the cost cell by the trunk length cell. Both inputs are unsupported or derived: the cost cell is contradicted (see cost_aud_billion) and the length cell is the sum of ML-AO-2025-LENGTH-SUBSEA and ML-AO-2025-LENGTH-UNDERGROUND. No archived source publishes a cost per kilometre for Project Marinus.</t>
        </is>
      </c>
      <c r="H45" s="5" t="inlineStr"/>
      <c r="I45" s="5" t="inlineStr"/>
      <c r="J45" s="5" t="n"/>
    </row>
    <row r="46">
      <c r="A46" s="5" t="inlineStr">
        <is>
          <t>Project Marinus</t>
        </is>
      </c>
      <c r="B46" s="5" t="inlineStr">
        <is>
          <t>Marinus Link 1 &amp; 2</t>
        </is>
      </c>
      <c r="C46" s="5" t="inlineStr">
        <is>
          <t>circuits</t>
        </is>
      </c>
      <c r="D46" s="5" t="inlineStr">
        <is>
          <t>2</t>
        </is>
      </c>
      <c r="E46" s="5" t="inlineStr">
        <is>
          <t>supported_with_boundary</t>
        </is>
      </c>
      <c r="F46" s="5" t="inlineStr">
        <is>
          <t>2 HVDC monopole links (Stage 1 and Stage 2)</t>
        </is>
      </c>
      <c r="G46" s="5" t="inlineStr">
        <is>
          <t>AEMO describes two 750 MW HVDC developments. These are HVDC monopoles, not the new parallel 500 kV AC circuits the chart's definition names, so the count agrees while the definition does not.</t>
        </is>
      </c>
      <c r="H46" s="5" t="inlineStr">
        <is>
          <t>HUM-AEMO-2026-ISP-A5</t>
        </is>
      </c>
      <c r="I46" s="5" t="inlineStr">
        <is>
          <t>26, 58</t>
        </is>
      </c>
      <c r="J46" s="5" t="inlineStr">
        <is>
          <t>ML-AO-2026-LINKS</t>
        </is>
      </c>
    </row>
    <row r="47">
      <c r="A47" s="5" t="inlineStr">
        <is>
          <t>Project Marinus</t>
        </is>
      </c>
      <c r="B47" s="5" t="inlineStr">
        <is>
          <t>Marinus Link 1 &amp; 2</t>
        </is>
      </c>
      <c r="C47" s="5" t="inlineStr">
        <is>
          <t>lines</t>
        </is>
      </c>
      <c r="D47" s="5" t="inlineStr">
        <is>
          <t>2</t>
        </is>
      </c>
      <c r="E47" s="5" t="inlineStr">
        <is>
          <t>supported_with_boundary</t>
        </is>
      </c>
      <c r="F47" s="5" t="inlineStr">
        <is>
          <t>2 HVDC cable routes (subsea and underground), no transmission-line towers for the interconnector</t>
        </is>
      </c>
      <c r="G47" s="5" t="inlineStr">
        <is>
          <t>The chart counts lines of towers. Marinus Link is subsea and underground cable, so the two stages are two cable routes rather than two tower lines. The 220 kV NWTD works do involve overhead lines, but they sit in a separate delivery boundary and are not counted here.</t>
        </is>
      </c>
      <c r="H47" s="5" t="inlineStr">
        <is>
          <t>HUM-AEMO-2026-ISP-A5; ML-TN-2025-RITT</t>
        </is>
      </c>
      <c r="I47" s="5" t="inlineStr">
        <is>
          <t>HUM-AEMO-2026-ISP-A5 pp26-27; ML-TN-2025-RITT p6</t>
        </is>
      </c>
      <c r="J47" s="5" t="inlineStr">
        <is>
          <t>ML-AO-2026-LINKS</t>
        </is>
      </c>
    </row>
    <row r="48">
      <c r="A48" s="5" t="inlineStr">
        <is>
          <t>Project Marinus</t>
        </is>
      </c>
      <c r="B48" s="5" t="inlineStr">
        <is>
          <t>Marinus Link 1 &amp; 2</t>
        </is>
      </c>
      <c r="C48" s="5" t="inlineStr">
        <is>
          <t>alt_routes</t>
        </is>
      </c>
      <c r="D48" s="5" t="inlineStr">
        <is>
          <t>2</t>
        </is>
      </c>
      <c r="E48" s="5" t="inlineStr">
        <is>
          <t>judgment</t>
        </is>
      </c>
      <c r="F48" s="5" t="inlineStr"/>
      <c r="G48" s="5" t="inlineStr">
        <is>
          <t>Geographic route diversity is an author definition that no archived source supplies. Sources establish that Marinus Link operates in parallel with the existing Basslink interconnector across Bass Strait, which is the fact the author's count would rest on; the count of 2 remains the author's.</t>
        </is>
      </c>
      <c r="H48" s="5" t="inlineStr">
        <is>
          <t>HUM-AEMO-2026-ISP-A5</t>
        </is>
      </c>
      <c r="I48" s="5" t="inlineStr">
        <is>
          <t>26</t>
        </is>
      </c>
      <c r="J48" s="5" t="n"/>
    </row>
    <row r="49">
      <c r="A49" s="6" t="inlineStr">
        <is>
          <t>Project Marinus</t>
        </is>
      </c>
      <c r="B49" s="6" t="inlineStr">
        <is>
          <t>Marinus Link 1 &amp; 2</t>
        </is>
      </c>
      <c r="C49" s="6" t="inlineStr">
        <is>
          <t>syncons_mva</t>
        </is>
      </c>
      <c r="D49" s="6" t="inlineStr">
        <is>
          <t>0</t>
        </is>
      </c>
      <c r="E49" s="6" t="inlineStr">
        <is>
          <t>gap</t>
        </is>
      </c>
      <c r="F49" s="6" t="inlineStr"/>
      <c r="G49" s="6" t="inlineStr">
        <is>
          <t>No archived source states synchronous condenser capacity within the Project Marinus or NWTD scope. The zero is not contradicted, but it is not evidenced either.</t>
        </is>
      </c>
      <c r="H49" s="6" t="inlineStr"/>
      <c r="I49" s="6" t="inlineStr"/>
      <c r="J49" s="6" t="n"/>
    </row>
    <row r="50">
      <c r="A50" s="5" t="inlineStr">
        <is>
          <t>Project Marinus</t>
        </is>
      </c>
      <c r="B50" s="5" t="inlineStr">
        <is>
          <t>Marinus Link 1 &amp; 2</t>
        </is>
      </c>
      <c r="C50" s="5" t="inlineStr">
        <is>
          <t>hubs</t>
        </is>
      </c>
      <c r="D50" s="5" t="inlineStr">
        <is>
          <t>0</t>
        </is>
      </c>
      <c r="E50" s="5" t="inlineStr">
        <is>
          <t>judgment</t>
        </is>
      </c>
      <c r="F50" s="5" t="inlineStr"/>
      <c r="G50" s="5" t="inlineStr">
        <is>
          <t>No archived source counts hubs for Project Marinus. The scope names converter stations at Burnie and Hazelwood and switching stations at Heybridge and Staverton; whether any of these count as a hub under the chart's definition is the author's decision.</t>
        </is>
      </c>
      <c r="H50" s="5" t="inlineStr">
        <is>
          <t>HUM-AEMO-2026-ISP-A5</t>
        </is>
      </c>
      <c r="I50" s="5" t="inlineStr">
        <is>
          <t>26-27, 59</t>
        </is>
      </c>
      <c r="J50" s="5" t="n"/>
    </row>
    <row r="51">
      <c r="A51" s="6" t="inlineStr">
        <is>
          <t>Project Marinus</t>
        </is>
      </c>
      <c r="B51" s="6" t="inlineStr">
        <is>
          <t>Marinus Link 1 &amp; 2</t>
        </is>
      </c>
      <c r="C51" s="6" t="inlineStr">
        <is>
          <t>transformers</t>
        </is>
      </c>
      <c r="D51" s="6" t="inlineStr">
        <is>
          <t>0</t>
        </is>
      </c>
      <c r="E51" s="6" t="inlineStr">
        <is>
          <t>gap</t>
        </is>
      </c>
      <c r="F51" s="6" t="inlineStr"/>
      <c r="G51" s="6" t="inlineStr">
        <is>
          <t>No archived source states committed or actionable transformer capacity for Project Marinus. The delivery scope names HVDC converter stations, whose rating AEMO reports as link capacity rather than transformer MVA.</t>
        </is>
      </c>
      <c r="H51" s="6" t="inlineStr">
        <is>
          <t>HUM-AEMO-2026-ISP-A5</t>
        </is>
      </c>
      <c r="I51" s="6" t="inlineStr">
        <is>
          <t>26-27</t>
        </is>
      </c>
      <c r="J51" s="6" t="n"/>
    </row>
    <row r="52">
      <c r="A52" s="6" t="inlineStr">
        <is>
          <t>Project Marinus</t>
        </is>
      </c>
      <c r="B52" s="6" t="inlineStr">
        <is>
          <t>Marinus Link 1 &amp; 2</t>
        </is>
      </c>
      <c r="C52" s="6" t="inlineStr">
        <is>
          <t>feeder_lines_km</t>
        </is>
      </c>
      <c r="D52" s="6" t="inlineStr">
        <is>
          <t>0</t>
        </is>
      </c>
      <c r="E52" s="6" t="inlineStr">
        <is>
          <t>gap</t>
        </is>
      </c>
      <c r="F52" s="6" t="inlineStr"/>
      <c r="G52" s="6" t="inlineStr">
        <is>
          <t>The 2026 ISP describes 220 kV NWTD works (Sheffield-Heybridge-Burnie, Palmerston-Sheffield, Staverton-Hampshire, Sheffield-Staverton) that meet the chart's definition of lower-voltage lines connecting to the main trunk, but no archived source states their length. The zero is therefore unsupported rather than confirmed.</t>
        </is>
      </c>
      <c r="H52" s="6" t="inlineStr">
        <is>
          <t>HUM-AEMO-2026-ISP-A5</t>
        </is>
      </c>
      <c r="I52" s="6" t="inlineStr">
        <is>
          <t>26-27, 59</t>
        </is>
      </c>
      <c r="J52" s="6" t="n"/>
    </row>
    <row r="53">
      <c r="A53" s="4" t="inlineStr">
        <is>
          <t>New England REZ Network Infrastructure Project</t>
        </is>
      </c>
      <c r="B53" s="4" t="inlineStr">
        <is>
          <t>New England REZ</t>
        </is>
      </c>
      <c r="C53" s="4" t="inlineStr">
        <is>
          <t>date</t>
        </is>
      </c>
      <c r="D53" s="4" t="inlineStr">
        <is>
          <t>2034</t>
        </is>
      </c>
      <c r="E53" s="4" t="inlineStr">
        <is>
          <t>supported</t>
        </is>
      </c>
      <c r="F53" s="4" t="inlineStr">
        <is>
          <t>January 2034</t>
        </is>
      </c>
      <c r="G53" s="4" t="inlineStr">
        <is>
          <t>AEMO's 2026 ISP Appendix A5 states an expected delivery date of January 2034 for the New England REZ Network Infrastructure Project and repeats it in the delivery-scope table.</t>
        </is>
      </c>
      <c r="H53" s="4" t="inlineStr">
        <is>
          <t>HUM-AEMO-2026-ISP-A5</t>
        </is>
      </c>
      <c r="I53" s="4" t="inlineStr">
        <is>
          <t>30, 31</t>
        </is>
      </c>
      <c r="J53" s="4" t="inlineStr">
        <is>
          <t>NER-AO-2026-COMPLETION</t>
        </is>
      </c>
    </row>
    <row r="54">
      <c r="A54" s="6" t="inlineStr">
        <is>
          <t>New England REZ Network Infrastructure Project</t>
        </is>
      </c>
      <c r="B54" s="6" t="inlineStr">
        <is>
          <t>New England REZ</t>
        </is>
      </c>
      <c r="C54" s="6" t="inlineStr">
        <is>
          <t>cost_aud_billion</t>
        </is>
      </c>
      <c r="D54" s="6" t="inlineStr">
        <is>
          <t>5.914000000000001</t>
        </is>
      </c>
      <c r="E54" s="6" t="inlineStr">
        <is>
          <t>gap</t>
        </is>
      </c>
      <c r="F54" s="6" t="inlineStr"/>
      <c r="G54" s="6" t="inlineStr">
        <is>
          <t>The author sums CNSW-NNSW Option 1, CNSW-NNSW Option 2 and N2 Option 1 from the Draft 2026 ISP Appendix 5, pages 34-35. That draft is not archived. In the archived final 2026 ISP Appendix A5 the New England section (pp30-32) carries only CNSW-NNSW Option 1 with a blank reported-cost field, and pages 34-35 are the Gladstone Project. The three amounts are therefore not found and the chart value is not backfilled. The archived 2024 ISP Appendix A5 does state $1,834m, $1,493m and $370m for the equivalent superseded two-part options (NER-AO-2024-COST-FP1, NER-AO-2024-COST-FP2, NER-AO-2024-COST-N2OPT1); those are recorded as observations only and are not summed.</t>
        </is>
      </c>
      <c r="H54" s="6" t="inlineStr"/>
      <c r="I54" s="6" t="inlineStr"/>
      <c r="J54" s="6" t="n"/>
    </row>
    <row r="55">
      <c r="A55" s="5" t="inlineStr">
        <is>
          <t>New England REZ Network Infrastructure Project</t>
        </is>
      </c>
      <c r="B55" s="5" t="inlineStr">
        <is>
          <t>New England REZ</t>
        </is>
      </c>
      <c r="C55" s="5" t="inlineStr">
        <is>
          <t>network_capacity_gw</t>
        </is>
      </c>
      <c r="D55" s="5" t="inlineStr">
        <is>
          <t>8</t>
        </is>
      </c>
      <c r="E55" s="5" t="inlineStr">
        <is>
          <t>supported_with_boundary</t>
        </is>
      </c>
      <c r="F55" s="5" t="inlineStr">
        <is>
          <t>8,000 MW (8 gigawatts) intended network capacity declared for the New England REZ area; 8 GW is also the proponent's stated future potential capacity for the NIP</t>
        </is>
      </c>
      <c r="G55" s="5" t="inlineStr">
        <is>
          <t>The NSW Government Gazette No 643 (17 December 2021), the Renewable Energy Zone (New England) Order 2021 made under s19(1) of the Electricity Infrastructure Investment Act 2020 (NSW), states directly: 'The intended network capacity for network infrastructure in the New England renewable energy zone is 8 gigawatts.' This is the statutory declaration instrument itself, not a secondary account of it. AEMO's 2026 ISP Appendix A5 reports the same 8,000 MW declaration intent but separately reports the NIP's delivered additional network capacity as 6,000 MW forward and 6,000 MW reverse, and EnergyCo's 2023 strategy states the Deliver Now options would limit capacity to 6 GW, down from the intended 8 GW. EnergyCo's 2025 Generation and Storage Consultation Paper corroborates this split directly: an initial network capacity of 6 GW delivered over Stages 1 and 2, with the potential to increase capacity to 8 GW in the future. The declared 8 GW area-wide intent and the NIP's currently targeted 6 GW delivery capacity remain different boundaries.</t>
        </is>
      </c>
      <c r="H55" s="5" t="inlineStr">
        <is>
          <t>NER-NSWGOV-2021-GAZETTE-643; HUM-AEMO-2026-ISP-A5; CWO-04; NER-ENERGYCO-2025-CONSULTATION</t>
        </is>
      </c>
      <c r="I55" s="5" t="inlineStr">
        <is>
          <t>NER-NSWGOV-2021-GAZETTE-643 p3; HUM-AEMO-2026-ISP-A5 pp30-31; CWO-04 pp13, 35; NER-ENERGYCO-2025-CONSULTATION pp9, 51</t>
        </is>
      </c>
      <c r="J55" s="5" t="inlineStr">
        <is>
          <t>NER-AO-2021-GAZETTE-8GW</t>
        </is>
      </c>
    </row>
    <row r="56">
      <c r="A56" s="5" t="inlineStr">
        <is>
          <t>New England REZ Network Infrastructure Project</t>
        </is>
      </c>
      <c r="B56" s="5" t="inlineStr">
        <is>
          <t>New England REZ</t>
        </is>
      </c>
      <c r="C56" s="5" t="inlineStr">
        <is>
          <t>trunk_km</t>
        </is>
      </c>
      <c r="D56" s="5" t="inlineStr">
        <is>
          <t>305</t>
        </is>
      </c>
      <c r="E56" s="5" t="inlineStr">
        <is>
          <t>supported_with_boundary</t>
        </is>
      </c>
      <c r="F56" s="5" t="inlineStr">
        <is>
          <t>305 km: total length of transmission corridor for the 'new study corridor' option in the EnergyCo Bulk Corridor Design Refinement Report (Nov 2025), Table E-1 (p16) and Table 6-1 (p48)</t>
        </is>
      </c>
      <c r="G56" s="5" t="inlineStr">
        <is>
          <t>The archived Bulk Corridor Design Refinement Report's Table E-1 (p16) and Table 6-1 (p48), headed 'Refined PSC' and 'New study corridor', both state 'Length' / 'Total length of transmission corridor' as 346 km for the Refined PSC and 305 km for the new study corridor (metrics dated Jul-25). The report recommends proceeding with the new study corridor (pp7, 19), matching the chart's 305 km, but this is a comparative corridor length for a recommended-but-not-yet-finalised option, not a stated final project or line route length; the alternative Refined PSC corridor is 346 km on the same metric. The report separately states the whole project is 'about 350 kilometres' in length (pp8, 24), a third figure on a different, less precise boundary. The scope has also been revised since the 2024 ISP, extending to Northern Hub with an additional 170 km (NER-AO-2026-TRUNK-170), which is an increment, not a total, and is not reconciled with either the 305 km or 346 km corridor figures.</t>
        </is>
      </c>
      <c r="H56" s="5" t="inlineStr">
        <is>
          <t>NER-ENERGYCO-2025-BULKCORRIDOR</t>
        </is>
      </c>
      <c r="I56" s="5" t="inlineStr">
        <is>
          <t>16, 48</t>
        </is>
      </c>
      <c r="J56" s="5" t="inlineStr">
        <is>
          <t>NER-AO-2025-BULKCORRIDOR-LEN-NEW</t>
        </is>
      </c>
    </row>
    <row r="57">
      <c r="A57" s="6" t="inlineStr">
        <is>
          <t>New England REZ Network Infrastructure Project</t>
        </is>
      </c>
      <c r="B57" s="6" t="inlineStr">
        <is>
          <t>New England REZ</t>
        </is>
      </c>
      <c r="C57" s="6" t="inlineStr">
        <is>
          <t>millions_per_trunk_km</t>
        </is>
      </c>
      <c r="D57" s="6" t="inlineStr">
        <is>
          <t>19.390163934426234</t>
        </is>
      </c>
      <c r="E57" s="6" t="inlineStr">
        <is>
          <t>gap</t>
        </is>
      </c>
      <c r="F57" s="6" t="inlineStr"/>
      <c r="G57" s="6" t="inlineStr">
        <is>
          <t>The cell is the chart's own arithmetic, $5,914m divided by 305 km. The cost input remains a gap against the archive: no archived source states a current NIP cost. The 305 km input is now supported with a boundary caveat (a recommended-but-not-yet-finalised corridor length from the Bulk Corridor Design Refinement Report, Table E-1/6-1), but a ratio with an unsupported cost input cannot itself be marked supported. Nothing archived states or contradicts this $/km ratio, and it is not recalculated from any observation.</t>
        </is>
      </c>
      <c r="H57" s="6" t="inlineStr"/>
      <c r="I57" s="6" t="inlineStr"/>
      <c r="J57" s="6" t="n"/>
    </row>
    <row r="58">
      <c r="A58" s="5" t="inlineStr">
        <is>
          <t>New England REZ Network Infrastructure Project</t>
        </is>
      </c>
      <c r="B58" s="5" t="inlineStr">
        <is>
          <t>New England REZ</t>
        </is>
      </c>
      <c r="C58" s="5" t="inlineStr">
        <is>
          <t>circuits</t>
        </is>
      </c>
      <c r="D58" s="5" t="inlineStr">
        <is>
          <t>4</t>
        </is>
      </c>
      <c r="E58" s="5" t="inlineStr">
        <is>
          <t>derived</t>
        </is>
      </c>
      <c r="F58" s="5" t="inlineStr">
        <is>
          <t>4</t>
        </is>
      </c>
      <c r="G58" s="5" t="inlineStr">
        <is>
          <t>EnergyCo's 2025 Generation and Storage Consultation Paper states the New REZ Network Infrastructure's new transmission infrastructure comprises two new double-circuit 500 kV transmission lines to Bayswater Power Station (NER-AO-2025-CONSULT-LINES, NER-AO-2025-CONSULT-CIRCUITS). Two lines at two circuits per double-circuit line is 2 x 2 = 4 circuits, matching the chart's cell. AEMO's archived 2026 ISP delivery scope does not state this count itself; its scope list enumerates five distinct double-circuit lines (Central B - Bayswater South 500 kV DCST, Central A - Bayswater South 500 kV DCST, Central A - Central B 500 kV DCST, Central A - North 500 kV built / 330 kV operated DCST, and two 330 kV DCST lines between Central B and East), so this derivation applies to the two Bayswater-connecting lines the consultation paper describes, not the whole delivery scope. The Bulk Corridor Design Refinement report the author also cited is still not archived.</t>
        </is>
      </c>
      <c r="H58" s="5" t="inlineStr">
        <is>
          <t>NER-ENERGYCO-2025-CONSULTATION</t>
        </is>
      </c>
      <c r="I58" s="5" t="inlineStr">
        <is>
          <t>11</t>
        </is>
      </c>
      <c r="J58" s="5" t="inlineStr">
        <is>
          <t>NER-AO-2025-CONSULT-CIRCUITS</t>
        </is>
      </c>
    </row>
    <row r="59">
      <c r="A59" s="4" t="inlineStr">
        <is>
          <t>New England REZ Network Infrastructure Project</t>
        </is>
      </c>
      <c r="B59" s="4" t="inlineStr">
        <is>
          <t>New England REZ</t>
        </is>
      </c>
      <c r="C59" s="4" t="inlineStr">
        <is>
          <t>lines</t>
        </is>
      </c>
      <c r="D59" s="4" t="inlineStr">
        <is>
          <t>2</t>
        </is>
      </c>
      <c r="E59" s="4" t="inlineStr">
        <is>
          <t>supported</t>
        </is>
      </c>
      <c r="F59" s="4" t="inlineStr">
        <is>
          <t>2</t>
        </is>
      </c>
      <c r="G59" s="4" t="inlineStr">
        <is>
          <t>EnergyCo's 2025 Generation and Storage Consultation Paper states the New REZ Network Infrastructure's new transmission infrastructure comprises two new double-circuit 500 kV transmission lines connecting the New England REZ to the existing NSW transmission network near Bayswater Power Station, matching the chart's cell directly. The archived 2026 ISP Appendix A5 does not state this itself; its delivery scope enumerates five distinct double-circuit lines (three at 500 kV, one 500 kV built / 330 kV operated, and 330 kV lines between Central B and East), on a different counting boundary from the chart's trunk-line count. The Bulk Corridor Design Refinement report the author also cited is still not archived.</t>
        </is>
      </c>
      <c r="H59" s="4" t="inlineStr">
        <is>
          <t>NER-ENERGYCO-2025-CONSULTATION</t>
        </is>
      </c>
      <c r="I59" s="4" t="inlineStr">
        <is>
          <t>11</t>
        </is>
      </c>
      <c r="J59" s="4" t="inlineStr">
        <is>
          <t>NER-AO-2025-CONSULT-LINES</t>
        </is>
      </c>
    </row>
    <row r="60">
      <c r="A60" s="5" t="inlineStr">
        <is>
          <t>New England REZ Network Infrastructure Project</t>
        </is>
      </c>
      <c r="B60" s="5" t="inlineStr">
        <is>
          <t>New England REZ</t>
        </is>
      </c>
      <c r="C60" s="5" t="inlineStr">
        <is>
          <t>alt_routes</t>
        </is>
      </c>
      <c r="D60" s="5" t="inlineStr">
        <is>
          <t>0</t>
        </is>
      </c>
      <c r="E60" s="5" t="inlineStr">
        <is>
          <t>judgment</t>
        </is>
      </c>
      <c r="F60" s="5" t="inlineStr"/>
      <c r="G60" s="5" t="inlineStr">
        <is>
          <t>Route redundancy is an author definition no source supplies. The author reasons that because the two parallel lines share a single 140 m corridor with a 70 m easement each, there is no effective route redundancy; that corridor width statement is from the unarchived Bulk Corridor Design Refinement report. No archived source counts alternative routes.</t>
        </is>
      </c>
      <c r="H60" s="5" t="inlineStr"/>
      <c r="I60" s="5" t="inlineStr"/>
      <c r="J60" s="5" t="n"/>
    </row>
    <row r="61">
      <c r="A61" s="6" t="inlineStr">
        <is>
          <t>New England REZ Network Infrastructure Project</t>
        </is>
      </c>
      <c r="B61" s="6" t="inlineStr">
        <is>
          <t>New England REZ</t>
        </is>
      </c>
      <c r="C61" s="6" t="inlineStr">
        <is>
          <t>syncons_mva</t>
        </is>
      </c>
      <c r="D61" s="6" t="inlineStr">
        <is>
          <t>0</t>
        </is>
      </c>
      <c r="E61" s="6" t="inlineStr">
        <is>
          <t>gap</t>
        </is>
      </c>
      <c r="F61" s="6" t="inlineStr"/>
      <c r="G61" s="6" t="inlineStr">
        <is>
          <t>No archived source states that synchronous condensers are absent from the NIP scope. The 2026 ISP delivery-scope list for CNSW-NNSW Option 1 contains no synchronous condensers, but silence in a scope list is not a stated absence, and the appendix states the final scope is subject to the competitive procurement outcome. The author's supporting material (Transgrid PACR on meeting system strength requirements in NSW, Section 2.3.5.4) is not archived.</t>
        </is>
      </c>
      <c r="H61" s="6" t="inlineStr"/>
      <c r="I61" s="6" t="inlineStr"/>
      <c r="J61" s="6" t="n"/>
    </row>
    <row r="62">
      <c r="A62" s="5" t="inlineStr">
        <is>
          <t>New England REZ Network Infrastructure Project</t>
        </is>
      </c>
      <c r="B62" s="5" t="inlineStr">
        <is>
          <t>New England REZ</t>
        </is>
      </c>
      <c r="C62" s="5" t="inlineStr">
        <is>
          <t>hubs</t>
        </is>
      </c>
      <c r="D62" s="5" t="inlineStr">
        <is>
          <t>5</t>
        </is>
      </c>
      <c r="E62" s="5" t="inlineStr">
        <is>
          <t>supported_with_boundary</t>
        </is>
      </c>
      <c r="F62" s="5" t="inlineStr">
        <is>
          <t>5</t>
        </is>
      </c>
      <c r="G62" s="5" t="inlineStr">
        <is>
          <t>The archived 2026 ISP delivery scope names five hubs inside CNSW-NNSW Option 1: Central B Hub, North and East Hubs, Central South Hub and Central A Hub. The count matches the chart's 5, but the chart's names and voltages (Central South 500 kV, Central Hub A 500 kV, Central Hub B 500 kV, East 330 kV, North 330 kV) come from the EnergyCo interactive map, which is not archived; the ISP describes North and East as 330 kV hubs and Central South as 500 kV without a five-hub tally of its own. The Bulk Corridor Design Refinement Report corroborates the count and its history: its main text describes 'Four energy hubs' (p25), and footnote 2 on the same page states the total number of energy hubs increased to five following the splitting of the central hub into two substations (Central Hub A and Central Hub B) in October 2025, matching the 2026 ISP's five-hub scope.</t>
        </is>
      </c>
      <c r="H62" s="5" t="inlineStr">
        <is>
          <t>HUM-AEMO-2026-ISP-A5; NER-ENERGYCO-2025-BULKCORRIDOR</t>
        </is>
      </c>
      <c r="I62" s="5" t="inlineStr">
        <is>
          <t>HUM-AEMO-2026-ISP-A5 pp31-32; NER-ENERGYCO-2025-BULKCORRIDOR p25</t>
        </is>
      </c>
      <c r="J62" s="5" t="inlineStr">
        <is>
          <t>NER-AO-2026-HUBS</t>
        </is>
      </c>
    </row>
    <row r="63">
      <c r="A63" s="5" t="inlineStr">
        <is>
          <t>New England REZ Network Infrastructure Project</t>
        </is>
      </c>
      <c r="B63" s="5" t="inlineStr">
        <is>
          <t>New England REZ</t>
        </is>
      </c>
      <c r="C63" s="5" t="inlineStr">
        <is>
          <t>transformers</t>
        </is>
      </c>
      <c r="D63" s="5" t="inlineStr">
        <is>
          <t>10500</t>
        </is>
      </c>
      <c r="E63" s="5" t="inlineStr">
        <is>
          <t>derived</t>
        </is>
      </c>
      <c r="F63" s="5" t="inlineStr">
        <is>
          <t>10500</t>
        </is>
      </c>
      <c r="G63" s="5" t="inlineStr">
        <is>
          <t>The chart cell is a sum of two archived line items: four 500/330/33 kV 1,500 MVA transformers at Central B Hub (NER-AO-2026-TFMR-CENTRALB) plus three 500/330/33 kV 1,500 MVA transformers at Central A Hub (NER-AO-2026-TFMR-CENTRALA), that is (4 x 1,500) + (3 x 1,500) = 10,500 MVA. The four 340 MVA phase shifting transformers at Central B (NER-AO-2026-PST-CENTRALB) are a separate archived item and are not in the total. AEMO does not publish the 10,500 MVA total itself, and it states the final scope is subject to the procurement outcome.</t>
        </is>
      </c>
      <c r="H63" s="5" t="inlineStr">
        <is>
          <t>HUM-AEMO-2026-ISP-A5</t>
        </is>
      </c>
      <c r="I63" s="5" t="inlineStr">
        <is>
          <t>31</t>
        </is>
      </c>
      <c r="J63" s="5" t="inlineStr">
        <is>
          <t>NER-AO-2026-TFMR-CENTRALB</t>
        </is>
      </c>
    </row>
    <row r="64">
      <c r="A64" s="6" t="inlineStr">
        <is>
          <t>New England REZ Network Infrastructure Project</t>
        </is>
      </c>
      <c r="B64" s="6" t="inlineStr">
        <is>
          <t>New England REZ</t>
        </is>
      </c>
      <c r="C64" s="6" t="inlineStr">
        <is>
          <t>feeder_lines_km</t>
        </is>
      </c>
      <c r="D64" s="6" t="inlineStr">
        <is>
          <t>0</t>
        </is>
      </c>
      <c r="E64" s="6" t="inlineStr">
        <is>
          <t>gap</t>
        </is>
      </c>
      <c r="F64" s="6" t="inlineStr"/>
      <c r="G64" s="6" t="inlineStr">
        <is>
          <t>No archived source documents hub-to-project feeder lines for the NIP, and none states their absence either. The author's note records only that no feeder lines are yet documented, in contrast with Central-West Orana. The zero is therefore an absence of evidence, not a sourced zero.</t>
        </is>
      </c>
      <c r="H64" s="6" t="inlineStr"/>
      <c r="I64" s="6" t="inlineStr"/>
      <c r="J64" s="6" t="n"/>
    </row>
    <row r="65">
      <c r="A65" s="5" t="inlineStr">
        <is>
          <t>Project EnergyConnect</t>
        </is>
      </c>
      <c r="B65" s="5" t="inlineStr">
        <is>
          <t>Project EnergyConnect</t>
        </is>
      </c>
      <c r="C65" s="5" t="inlineStr">
        <is>
          <t>date</t>
        </is>
      </c>
      <c r="D65" s="5" t="inlineStr">
        <is>
          <t>2027</t>
        </is>
      </c>
      <c r="E65" s="5" t="inlineStr">
        <is>
          <t>supported_with_boundary</t>
        </is>
      </c>
      <c r="F65" s="5" t="inlineStr">
        <is>
          <t>November 2027</t>
        </is>
      </c>
      <c r="G65" s="5" t="inlineStr">
        <is>
          <t>AEMO's 2026 ISP states Stage 2 is a committed project for November 2027. The chart's single 2027 date covers only Stage 2: Stage 1 was completed in late 2024, and Transgrid's own page instead targets NEM integration by the end of 2026. Transgrid's June 2026 completion release corroborates the end-of-2026 target, reporting the 700 km NSW section construction complete and Stage 2 (540 km Buronga-Wagga Wagga) being energised ahead of AEMO's inter-network testing; the same release also states Stage 1 'became operational last year', which does not match AEMO's 'late 2024' Stage 1 date.</t>
        </is>
      </c>
      <c r="H65" s="5" t="inlineStr">
        <is>
          <t>HUM-AEMO-2026-ISP-A5; PEC-TG-PROJECT-PAGE; PEC-TG-2026-COMPLETION</t>
        </is>
      </c>
      <c r="I65" s="5" t="inlineStr">
        <is>
          <t>HUM-AEMO-2026-ISP-A5 p16; PEC-TG-PROJECT-PAGE derivative line 1206; PEC-TG-2026-COMPLETION derivative lines 161-166</t>
        </is>
      </c>
      <c r="J65" s="5" t="inlineStr">
        <is>
          <t>PEC-AO-2026-STAGE2-COMMITTED</t>
        </is>
      </c>
    </row>
    <row r="66">
      <c r="A66" s="5" t="inlineStr">
        <is>
          <t>Project EnergyConnect</t>
        </is>
      </c>
      <c r="B66" s="5" t="inlineStr">
        <is>
          <t>Project EnergyConnect</t>
        </is>
      </c>
      <c r="C66" s="5" t="inlineStr">
        <is>
          <t>cost_aud_billion</t>
        </is>
      </c>
      <c r="D66" s="5" t="inlineStr">
        <is>
          <t>4.1</t>
        </is>
      </c>
      <c r="E66" s="5" t="inlineStr">
        <is>
          <t>supported_with_boundary</t>
        </is>
      </c>
      <c r="F66" s="5" t="inlineStr">
        <is>
          <t>3.628</t>
        </is>
      </c>
      <c r="G66" s="5" t="inlineStr">
        <is>
          <t>TransGrid's February 2026 application to reopen its 2023-2028 revenue determination states a forecast total capital expenditure to complete PEC of $3,628 million (real 2022-23), compared with the AER's inflation-adjusted $2,121 million PEC CPA allowance; the application's own cover letter rounds this to 'the forecast cost to deliver PEC had increased to $3.6 billion.' This is TransGrid's (NSW) forecast only, following the Contract Failure Transgrid's Board recognised on 25 October 2023 - it is a proponent application, not an AER-approved amount, and it is not stated to include ElectraNet's SA component. It is on a different price basis and boundary from the AER's 2021 $457.4m/$1,817.9m ($2017-18) determinations and the AER's $2.3bn ($2017-18) descriptive figure. The chart's $4.1 billion still matches only Transgrid's separate estimate of social value generated from June 2023 to June 2026 - a benefit measure, not capital expenditure; see CHART_DERIVATION.</t>
        </is>
      </c>
      <c r="H66" s="5" t="inlineStr">
        <is>
          <t>PEC-AER-2026-REOPEN; PEC-TG-PROJECT-PAGE; PEC-AER-2021-TRANSGRID-DECISION; PEC-AER-2021-ELECTRANET-DECISION</t>
        </is>
      </c>
      <c r="I66" s="5" t="inlineStr">
        <is>
          <t>PEC-AER-2026-REOPEN pp2, 30; PEC-TG-PROJECT-PAGE derivative line 1705; PEC-AER-2021-TRANSGRID-DECISION pp3, 8; PEC-AER-2021-ELECTRANET-DECISION p3</t>
        </is>
      </c>
      <c r="J66" s="5" t="inlineStr">
        <is>
          <t>PEC-AO-2026-TG-REOPENER-COST-TABLE3</t>
        </is>
      </c>
    </row>
    <row r="67">
      <c r="A67" s="6" t="inlineStr">
        <is>
          <t>Project EnergyConnect</t>
        </is>
      </c>
      <c r="B67" s="6" t="inlineStr">
        <is>
          <t>Project EnergyConnect</t>
        </is>
      </c>
      <c r="C67" s="6" t="inlineStr">
        <is>
          <t>network_capacity_gw</t>
        </is>
      </c>
      <c r="D67" s="6" t="inlineStr">
        <is>
          <t>2.2</t>
        </is>
      </c>
      <c r="E67" s="6" t="inlineStr">
        <is>
          <t>contradicted</t>
        </is>
      </c>
      <c r="F67" s="6" t="inlineStr">
        <is>
          <t>0.8</t>
        </is>
      </c>
      <c r="G67" s="6" t="inlineStr">
        <is>
          <t>No archived source states 2.2 GW on any boundary. AEMO 2026 states 150 MW after Stage 1 and that the NSW-SA interconnector is expected to increase to 800 MW in both directions after Stage 2 (0.8 GW). AEMO 2024 states Stage 1 150 MW, Stage 2 800 MW NSW-SA and 100 MW VIC-SA. The joint ElectraNet/Transgrid project page corroborates this, describing the interconnector as built with 'approximately 800MW transfer capacity'. REZ network limits (S2 800, N5 800, SWNSW1 400) are a separate measure and are not interconnector capacity.</t>
        </is>
      </c>
      <c r="H67" s="6" t="inlineStr">
        <is>
          <t>HUM-AEMO-2026-ISP-A5; HUM-AEMO-2024-ISP-A5; PEC-JOINT-2026-PROJECT-PAGE</t>
        </is>
      </c>
      <c r="I67" s="6" t="inlineStr">
        <is>
          <t>HUM-AEMO-2026-ISP-A5 p16; HUM-AEMO-2024-ISP-A5 p17; PEC-JOINT-2026-PROJECT-PAGE derivative line 33</t>
        </is>
      </c>
      <c r="J67" s="6" t="inlineStr">
        <is>
          <t>PEC-AO-2026-CAP-POST-STAGE2</t>
        </is>
      </c>
    </row>
    <row r="68">
      <c r="A68" s="5" t="inlineStr">
        <is>
          <t>Project EnergyConnect</t>
        </is>
      </c>
      <c r="B68" s="5" t="inlineStr">
        <is>
          <t>Project EnergyConnect</t>
        </is>
      </c>
      <c r="C68" s="5" t="inlineStr">
        <is>
          <t>trunk_km</t>
        </is>
      </c>
      <c r="D68" s="5" t="inlineStr">
        <is>
          <t>160</t>
        </is>
      </c>
      <c r="E68" s="5" t="inlineStr">
        <is>
          <t>supported_with_boundary</t>
        </is>
      </c>
      <c r="F68" s="5" t="inlineStr">
        <is>
          <t>160</t>
        </is>
      </c>
      <c r="G68" s="5" t="inlineStr">
        <is>
          <t>No archived source defines a trunk length for Project EnergyConnect. Transgrid's June 2026 completion release now gives an exact match for the chart's 160 km - 'the first stage of the project, a 160km line from the South Australian border to Buronga and into Victoria' - but that is Stage 1 alone, not the interconnector trunk. Other archived candidates remain: the 165 km Dinawan to Wagga Wagga section (built 500 kV, operated at 330 kV); 135 km (SA border-Buronga) and 375 km (Buronga-Dinawan), both 330 kV; and a 540 km Buronga-Wagga Wagga Stage 2 line per the same release. Both Transgrid's own page and the joint ElectraNet/Transgrid project page state the whole project stretches 900 km, and both Transgrid's completion release and the joint project page separately state a 700 km NSW section (which does not reconcile arithmetically with the individually stated 330/500 kV section lengths, 675 km). The South Australian route length is not stated anywhere in the archive.</t>
        </is>
      </c>
      <c r="H68" s="5" t="inlineStr">
        <is>
          <t>PEC-TG-PROJECT-PAGE; PEC-TG-2026-COMPLETION; PEC-JOINT-2026-PROJECT-PAGE</t>
        </is>
      </c>
      <c r="I68" s="5" t="inlineStr">
        <is>
          <t>PEC-TG-PROJECT-PAGE derivative lines 1207, 1262, 1327; PEC-TG-2026-COMPLETION derivative lines 161-166, 184; PEC-JOINT-2026-PROJECT-PAGE derivative lines 20, 69</t>
        </is>
      </c>
      <c r="J68" s="5" t="inlineStr">
        <is>
          <t>PEC-AO-2026-TG-STAGE1-KM-160</t>
        </is>
      </c>
    </row>
    <row r="69">
      <c r="A69" s="5" t="inlineStr">
        <is>
          <t>Project EnergyConnect</t>
        </is>
      </c>
      <c r="B69" s="5" t="inlineStr">
        <is>
          <t>Project EnergyConnect</t>
        </is>
      </c>
      <c r="C69" s="5" t="inlineStr">
        <is>
          <t>millions_per_trunk_km</t>
        </is>
      </c>
      <c r="D69" s="5" t="inlineStr">
        <is>
          <t>25.625</t>
        </is>
      </c>
      <c r="E69" s="5" t="inlineStr">
        <is>
          <t>derived</t>
        </is>
      </c>
      <c r="F69" s="5" t="inlineStr"/>
      <c r="G69" s="5" t="inlineStr">
        <is>
          <t>25.625 = 4,100 / 160, dividing the chart's cost cell by its trunk cell. Both inputs fail: the $4.1bn is a social-value figure (PEC-AO-2026-TG-SOCIAL-VALUE), not capital cost, and 160 km is one 165 km section of a 900 km project (PEC-AO-2026-KM-DINAWAN-WAGGA, PEC-AO-2026-KM-WHOLE). No archived source supports a $/km for PEC on any boundary.</t>
        </is>
      </c>
      <c r="H69" s="5" t="inlineStr">
        <is>
          <t>PEC-TG-PROJECT-PAGE</t>
        </is>
      </c>
      <c r="I69" s="5" t="inlineStr">
        <is>
          <t>PEC-TG-PROJECT-PAGE derivative lines 1207, 1327, 1705</t>
        </is>
      </c>
      <c r="J69" s="5" t="n"/>
    </row>
    <row r="70">
      <c r="A70" s="5" t="inlineStr">
        <is>
          <t>Project EnergyConnect</t>
        </is>
      </c>
      <c r="B70" s="5" t="inlineStr">
        <is>
          <t>Project EnergyConnect</t>
        </is>
      </c>
      <c r="C70" s="5" t="inlineStr">
        <is>
          <t>circuits</t>
        </is>
      </c>
      <c r="D70" s="5" t="inlineStr">
        <is>
          <t>2</t>
        </is>
      </c>
      <c r="E70" s="5" t="inlineStr">
        <is>
          <t>supported_with_boundary</t>
        </is>
      </c>
      <c r="F70" s="5" t="inlineStr">
        <is>
          <t>2</t>
        </is>
      </c>
      <c r="G70" s="5" t="inlineStr">
        <is>
          <t>AEMO describes every new PEC line section as double-circuit, so 2 is right per line but is not a project-wide count. It is also time-dependent: Bundey-Buronga was strung one circuit initially in Stage 1, and the second 330 kV circuit is closed in Stage 2.</t>
        </is>
      </c>
      <c r="H70" s="5" t="inlineStr">
        <is>
          <t>HUM-AEMO-2024-ISP-A5; HUM-AEMO-2026-ISP-A5</t>
        </is>
      </c>
      <c r="I70" s="5" t="inlineStr">
        <is>
          <t>HUM-AEMO-2024-ISP-A5 pp17-18; HUM-AEMO-2026-ISP-A5 p16</t>
        </is>
      </c>
      <c r="J70" s="5" t="inlineStr">
        <is>
          <t>PEC-AO-2024-CIRCUITS</t>
        </is>
      </c>
    </row>
    <row r="71">
      <c r="A71" s="6" t="inlineStr">
        <is>
          <t>Project EnergyConnect</t>
        </is>
      </c>
      <c r="B71" s="6" t="inlineStr">
        <is>
          <t>Project EnergyConnect</t>
        </is>
      </c>
      <c r="C71" s="6" t="inlineStr">
        <is>
          <t>lines</t>
        </is>
      </c>
      <c r="D71" s="6" t="inlineStr">
        <is>
          <t>1</t>
        </is>
      </c>
      <c r="E71" s="6" t="inlineStr">
        <is>
          <t>contradicted</t>
        </is>
      </c>
      <c r="F71" s="6" t="inlineStr"/>
      <c r="G71" s="6" t="inlineStr">
        <is>
          <t>AEMO's delivery scope lists at least five distinct new or converted line sections at three voltages: Robertstown-Bundey 275 kV, Bundey-Buronga 330 kV, Buronga-Red Cliffs 220 kV, Buronga-Dinawan 330 kV and Dinawan-Wagga Wagga 500 kV, plus the Para-Robertstown 275 kV conversion into Tungkillo. No source states a project-wide line count of 1.</t>
        </is>
      </c>
      <c r="H71" s="6" t="inlineStr">
        <is>
          <t>HUM-AEMO-2024-ISP-A5</t>
        </is>
      </c>
      <c r="I71" s="6" t="inlineStr">
        <is>
          <t>HUM-AEMO-2024-ISP-A5 pp17-18</t>
        </is>
      </c>
      <c r="J71" s="6" t="inlineStr">
        <is>
          <t>PEC-AO-2024-LINES</t>
        </is>
      </c>
    </row>
    <row r="72">
      <c r="A72" s="5" t="inlineStr">
        <is>
          <t>Project EnergyConnect</t>
        </is>
      </c>
      <c r="B72" s="5" t="inlineStr">
        <is>
          <t>Project EnergyConnect</t>
        </is>
      </c>
      <c r="C72" s="5" t="inlineStr">
        <is>
          <t>alt_routes</t>
        </is>
      </c>
      <c r="D72" s="5" t="inlineStr">
        <is>
          <t>0</t>
        </is>
      </c>
      <c r="E72" s="5" t="inlineStr">
        <is>
          <t>judgment</t>
        </is>
      </c>
      <c r="F72" s="5" t="inlineStr"/>
      <c r="G72" s="5" t="inlineStr">
        <is>
          <t>No archived source counts alternative routes for Project EnergyConnect. The 2020 ISP records that non-network alternatives were investigated but not pursued in the RIT-T; that is not a route count. The 0 is an author definition.</t>
        </is>
      </c>
      <c r="H72" s="5" t="inlineStr">
        <is>
          <t>HUM-AEMO-2020-ISP-A3</t>
        </is>
      </c>
      <c r="I72" s="5" t="inlineStr">
        <is>
          <t>HUM-AEMO-2020-ISP-A3 pp27-28</t>
        </is>
      </c>
      <c r="J72" s="5" t="n"/>
    </row>
    <row r="73">
      <c r="A73" s="6" t="inlineStr">
        <is>
          <t>Project EnergyConnect</t>
        </is>
      </c>
      <c r="B73" s="6" t="inlineStr">
        <is>
          <t>Project EnergyConnect</t>
        </is>
      </c>
      <c r="C73" s="6" t="inlineStr">
        <is>
          <t>syncons_mva</t>
        </is>
      </c>
      <c r="D73" s="6" t="inlineStr">
        <is>
          <t>240</t>
        </is>
      </c>
      <c r="E73" s="6" t="inlineStr">
        <is>
          <t>contradicted</t>
        </is>
      </c>
      <c r="F73" s="6" t="inlineStr">
        <is>
          <t>100</t>
        </is>
      </c>
      <c r="G73" s="6" t="inlineStr">
        <is>
          <t>No archived source states 240 MVA of synchronous condensers, and 240 cannot be assembled from any stated rating. AEMO's 2026 ISP states an additional 1 x 100 MVA 330 kV connected synchronous condenser at Buronga and new 2 x 100 MVA units at Dinawan; Transgrid separately reports 2 syncons at Buronga and 2 at the Dinawan substation with no MVA rating. The curator does not sum unit ratings.</t>
        </is>
      </c>
      <c r="H73" s="6" t="inlineStr">
        <is>
          <t>HUM-AEMO-2026-ISP-A5; PEC-TG-PROJECT-PAGE</t>
        </is>
      </c>
      <c r="I73" s="6" t="inlineStr">
        <is>
          <t>HUM-AEMO-2026-ISP-A5 p17; PEC-TG-PROJECT-PAGE derivative lines 1273, 1338</t>
        </is>
      </c>
      <c r="J73" s="6" t="inlineStr">
        <is>
          <t>PEC-AO-2026-SYNCON-DINAWAN</t>
        </is>
      </c>
    </row>
    <row r="74">
      <c r="A74" s="5" t="inlineStr">
        <is>
          <t>Project EnergyConnect</t>
        </is>
      </c>
      <c r="B74" s="5" t="inlineStr">
        <is>
          <t>Project EnergyConnect</t>
        </is>
      </c>
      <c r="C74" s="5" t="inlineStr">
        <is>
          <t>hubs</t>
        </is>
      </c>
      <c r="D74" s="5" t="inlineStr">
        <is>
          <t>0</t>
        </is>
      </c>
      <c r="E74" s="5" t="inlineStr">
        <is>
          <t>judgment</t>
        </is>
      </c>
      <c r="F74" s="5" t="inlineStr"/>
      <c r="G74" s="5" t="inlineStr">
        <is>
          <t>No archived source counts hubs for PEC. AEMO states a new 330 kV switching station at Dinawan and Transgrid a new 4.5ha substation near Bundure; whether a switching station counts as a hub is an author definition, so 0 is neither supported nor contradicted.</t>
        </is>
      </c>
      <c r="H74" s="5" t="inlineStr">
        <is>
          <t>HUM-AEMO-2026-ISP-A5; PEC-TG-PROJECT-PAGE</t>
        </is>
      </c>
      <c r="I74" s="5" t="inlineStr">
        <is>
          <t>HUM-AEMO-2026-ISP-A5 p16; PEC-TG-PROJECT-PAGE derivative line 1338</t>
        </is>
      </c>
      <c r="J74" s="5" t="inlineStr">
        <is>
          <t>PEC-AO-2026-SWITCHING-DINAWAN</t>
        </is>
      </c>
    </row>
    <row r="75">
      <c r="A75" s="6" t="inlineStr">
        <is>
          <t>Project EnergyConnect</t>
        </is>
      </c>
      <c r="B75" s="6" t="inlineStr">
        <is>
          <t>Project EnergyConnect</t>
        </is>
      </c>
      <c r="C75" s="6" t="inlineStr">
        <is>
          <t>transformers</t>
        </is>
      </c>
      <c r="D75" s="6" t="inlineStr">
        <is>
          <t>0</t>
        </is>
      </c>
      <c r="E75" s="6" t="inlineStr">
        <is>
          <t>contradicted</t>
        </is>
      </c>
      <c r="F75" s="6" t="inlineStr"/>
      <c r="G75" s="6" t="inlineStr">
        <is>
          <t>Transformers are an explicit, substantial part of the sourced scope: 3 x 400 MVA 330/275 kV at Bundey; 1 x 200 MVA 330/220 kV and 1 x 200 MVA 330 kV phase shifting transformer at Buronga; additional 4 x 200 MVA phase shifting transformers and 2 x 200 MVA 330/220 kV transformers at Buronga. Transgrid records 5 phase shifting transformers installed at Buronga. A chart value of 0 is contradicted; no source states a single project transformer total.</t>
        </is>
      </c>
      <c r="H75" s="6" t="inlineStr">
        <is>
          <t>HUM-AEMO-2024-ISP-A5; HUM-AEMO-2026-ISP-A5; PEC-TG-PROJECT-PAGE</t>
        </is>
      </c>
      <c r="I75" s="6" t="inlineStr">
        <is>
          <t>HUM-AEMO-2024-ISP-A5 pp17-18; HUM-AEMO-2026-ISP-A5 p16; PEC-TG-PROJECT-PAGE derivative line 1273</t>
        </is>
      </c>
      <c r="J75" s="6" t="inlineStr">
        <is>
          <t>PEC-AO-2024-XFMR-BUNDEY</t>
        </is>
      </c>
    </row>
    <row r="76">
      <c r="A76" s="6" t="inlineStr">
        <is>
          <t>Project EnergyConnect</t>
        </is>
      </c>
      <c r="B76" s="6" t="inlineStr">
        <is>
          <t>Project EnergyConnect</t>
        </is>
      </c>
      <c r="C76" s="6" t="inlineStr">
        <is>
          <t>feeder_lines_km</t>
        </is>
      </c>
      <c r="D76" s="6" t="inlineStr">
        <is>
          <t>0</t>
        </is>
      </c>
      <c r="E76" s="6" t="inlineStr">
        <is>
          <t>contradicted</t>
        </is>
      </c>
      <c r="F76" s="6" t="inlineStr">
        <is>
          <t>22</t>
        </is>
      </c>
      <c r="G76" s="6" t="inlineStr">
        <is>
          <t>The project scope includes a new Buronga to Red Cliffs 220 kV double-circuit line, and Transgrid records the upgrade of about 22 km of existing 220 kV transmission between Buronga substation and Red Cliffs, replacing lattice structures with 79 monopoles. Lower-voltage works are not zero.</t>
        </is>
      </c>
      <c r="H76" s="6" t="inlineStr">
        <is>
          <t>HUM-AEMO-2024-ISP-A5; PEC-TG-PROJECT-PAGE</t>
        </is>
      </c>
      <c r="I76" s="6" t="inlineStr">
        <is>
          <t>HUM-AEMO-2024-ISP-A5 p18; PEC-TG-PROJECT-PAGE derivative line 1262</t>
        </is>
      </c>
      <c r="J76" s="6" t="inlineStr">
        <is>
          <t>PEC-AO-2026-KM-REDCLIFFS</t>
        </is>
      </c>
    </row>
    <row r="77">
      <c r="A77" s="5" t="inlineStr">
        <is>
          <t>Sydney Ring South (Reinforcing Sydney, Newcastle and Wollongong Supply)</t>
        </is>
      </c>
      <c r="B77" s="5" t="inlineStr">
        <is>
          <t>Sydney Ring South</t>
        </is>
      </c>
      <c r="C77" s="5" t="inlineStr">
        <is>
          <t>date</t>
        </is>
      </c>
      <c r="D77" s="5" t="inlineStr">
        <is>
          <t>2034</t>
        </is>
      </c>
      <c r="E77" s="5" t="inlineStr">
        <is>
          <t>supported_with_boundary</t>
        </is>
      </c>
      <c r="F77" s="5" t="inlineStr">
        <is>
          <t>2033-34</t>
        </is>
      </c>
      <c r="G77" s="5" t="inlineStr">
        <is>
          <t>The archived ODP delivers both stages of the 500 kV option in the 2033-34 financial year; Transgrid's own PADR confirms the same 2033/34 earliest in-service timing for Option 6's 500 kV transmission line (Stage 2), with Stage 1 (South Creek substation and power flow control) timed at 2030/31. The chart's 2034 is the author's calendar proxy and ignores the earlier Stage 1 timing.</t>
        </is>
      </c>
      <c r="H77" s="5" t="inlineStr">
        <is>
          <t>HUM-AEMO-2026-ISP-A5; SRS-TG-2026-PADR</t>
        </is>
      </c>
      <c r="I77" s="5" t="inlineStr">
        <is>
          <t>44; 38</t>
        </is>
      </c>
      <c r="J77" s="5" t="inlineStr">
        <is>
          <t>SRS-AO-2026-COMPLETION-ODP</t>
        </is>
      </c>
    </row>
    <row r="78">
      <c r="A78" s="6" t="inlineStr">
        <is>
          <t>Sydney Ring South (Reinforcing Sydney, Newcastle and Wollongong Supply)</t>
        </is>
      </c>
      <c r="B78" s="6" t="inlineStr">
        <is>
          <t>Sydney Ring South</t>
        </is>
      </c>
      <c r="C78" s="6" t="inlineStr">
        <is>
          <t>cost_aud_billion</t>
        </is>
      </c>
      <c r="D78" s="6" t="inlineStr">
        <is>
          <t>3.5</t>
        </is>
      </c>
      <c r="E78" s="6" t="inlineStr">
        <is>
          <t>contradicted</t>
        </is>
      </c>
      <c r="F78" s="6" t="inlineStr">
        <is>
          <t>3.519</t>
        </is>
      </c>
      <c r="G78" s="6" t="inlineStr">
        <is>
          <t>Transgrid's own PADR, now archived, states Option 6's total capital cost as $3,519 million (nominal), staged $1,135 million (Stage 1) then $2,384 million (Stage 2), confirming AEMO's secondhand quotation. The chart's 3.510 is not a separate basis but a transcription of 3,519 (last two digits transposed). For the same combined boundary AEMO separately states a modelled $2025 cost of $2,621 million ($261m + $2,360m), which is not comparable on price basis.</t>
        </is>
      </c>
      <c r="H78" s="6" t="inlineStr">
        <is>
          <t>SRS-TG-2026-PADR; HUM-AEMO-2026-ISP-A5</t>
        </is>
      </c>
      <c r="I78" s="6" t="inlineStr">
        <is>
          <t>38; 43</t>
        </is>
      </c>
      <c r="J78" s="6" t="inlineStr">
        <is>
          <t>SRS-AO-2026-PADR-OPT6-TOTAL-COST</t>
        </is>
      </c>
    </row>
    <row r="79">
      <c r="A79" s="4" t="inlineStr">
        <is>
          <t>Sydney Ring South (Reinforcing Sydney, Newcastle and Wollongong Supply)</t>
        </is>
      </c>
      <c r="B79" s="4" t="inlineStr">
        <is>
          <t>Sydney Ring South</t>
        </is>
      </c>
      <c r="C79" s="4" t="inlineStr">
        <is>
          <t>network_capacity_gw</t>
        </is>
      </c>
      <c r="D79" s="4" t="inlineStr">
        <is>
          <t>3.6</t>
        </is>
      </c>
      <c r="E79" s="4" t="inlineStr">
        <is>
          <t>supported</t>
        </is>
      </c>
      <c r="F79" s="4" t="inlineStr">
        <is>
          <t>3.6</t>
        </is>
      </c>
      <c r="G79" s="4" t="inlineStr">
        <is>
          <t>Transgrid's own PADR states that Option 6, once complete (both stages), adds 3.6 GW of transfer capacity to the network supplying Sydney, Newcastle and Wollongong from the south -- the same combined Option 6 boundary the chart represents. AEMO separately states 3,600 MW forward capacity for the 500 kV transmission option alone (and 0 MW for the power flow control option).</t>
        </is>
      </c>
      <c r="H79" s="4" t="inlineStr">
        <is>
          <t>SRS-TG-2026-PADR; HUM-AEMO-2026-ISP-A5</t>
        </is>
      </c>
      <c r="I79" s="4" t="inlineStr">
        <is>
          <t>38; 43-44</t>
        </is>
      </c>
      <c r="J79" s="4" t="inlineStr">
        <is>
          <t>SRS-AO-2026-PADR-OPT6-CAPACITY</t>
        </is>
      </c>
    </row>
    <row r="80">
      <c r="A80" s="5" t="inlineStr">
        <is>
          <t>Sydney Ring South (Reinforcing Sydney, Newcastle and Wollongong Supply)</t>
        </is>
      </c>
      <c r="B80" s="5" t="inlineStr">
        <is>
          <t>Sydney Ring South</t>
        </is>
      </c>
      <c r="C80" s="5" t="inlineStr">
        <is>
          <t>trunk_km</t>
        </is>
      </c>
      <c r="D80" s="5" t="inlineStr">
        <is>
          <t>114</t>
        </is>
      </c>
      <c r="E80" s="5" t="inlineStr">
        <is>
          <t>supported_with_boundary</t>
        </is>
      </c>
      <c r="F80" s="5" t="inlineStr">
        <is>
          <t>114</t>
        </is>
      </c>
      <c r="G80" s="5" t="inlineStr">
        <is>
          <t>Transgrid's June 2023 Southern Ring preparatory-activities document, now archived, states the new Bannaby-South Creek 500 kV double-circuit overhead line has an approximate length of 114 km, matching the chart exactly. However, Transgrid's later 2026 PADR instead describes the (differently scoped) Bannaby-South Western Sydney 500 kV line as extending to around 100 km, so the chart's figure reflects an earlier preparatory estimate, not the current PADR boundary.</t>
        </is>
      </c>
      <c r="H80" s="5" t="inlineStr">
        <is>
          <t>SRS-TG-2023-SOUTHERN-RING; SRS-TG-2026-PADR</t>
        </is>
      </c>
      <c r="I80" s="5" t="inlineStr">
        <is>
          <t>8; 43</t>
        </is>
      </c>
      <c r="J80" s="5" t="inlineStr">
        <is>
          <t>SRS-AO-2023-SOUTHERN-RING-LENGTH</t>
        </is>
      </c>
    </row>
    <row r="81">
      <c r="A81" s="5" t="inlineStr">
        <is>
          <t>Sydney Ring South (Reinforcing Sydney, Newcastle and Wollongong Supply)</t>
        </is>
      </c>
      <c r="B81" s="5" t="inlineStr">
        <is>
          <t>Sydney Ring South</t>
        </is>
      </c>
      <c r="C81" s="5" t="inlineStr">
        <is>
          <t>millions_per_trunk_km</t>
        </is>
      </c>
      <c r="D81" s="5" t="inlineStr">
        <is>
          <t>30.70175438596491</t>
        </is>
      </c>
      <c r="E81" s="5" t="inlineStr">
        <is>
          <t>derived</t>
        </is>
      </c>
      <c r="F81" s="5" t="inlineStr"/>
      <c r="G81" s="5" t="inlineStr">
        <is>
          <t>Chart derivation: 3,510 AUD million divided by 114 km. The 114 km is now archived (2023 Southern Ring document), but 3,510 does not match any archived cost figure -- the archived PADR Table 3.1 total for Option 6 is $3,519 million, not $3,510 million -- so the ratio as calculated still cannot be validated.</t>
        </is>
      </c>
      <c r="H81" s="5" t="inlineStr"/>
      <c r="I81" s="5" t="inlineStr"/>
      <c r="J81" s="5" t="n"/>
    </row>
    <row r="82">
      <c r="A82" s="4" t="inlineStr">
        <is>
          <t>Sydney Ring South (Reinforcing Sydney, Newcastle and Wollongong Supply)</t>
        </is>
      </c>
      <c r="B82" s="4" t="inlineStr">
        <is>
          <t>Sydney Ring South</t>
        </is>
      </c>
      <c r="C82" s="4" t="inlineStr">
        <is>
          <t>circuits</t>
        </is>
      </c>
      <c r="D82" s="4" t="inlineStr">
        <is>
          <t>2</t>
        </is>
      </c>
      <c r="E82" s="4" t="inlineStr">
        <is>
          <t>supported</t>
        </is>
      </c>
      <c r="F82" s="4" t="inlineStr">
        <is>
          <t>2</t>
        </is>
      </c>
      <c r="G82" s="4" t="inlineStr">
        <is>
          <t>AEMO describes a double-circuit 330 kV transmission line built to a 500 kV design between Bannaby and the new South Creek switching station. Transgrid's own PADR (Option 6) confirms a new 500 kV double circuit transmission line between Bannaby and South Western Sydney.</t>
        </is>
      </c>
      <c r="H82" s="4" t="inlineStr">
        <is>
          <t>HUM-AEMO-2026-ISP-A5; SRS-TG-2026-PADR</t>
        </is>
      </c>
      <c r="I82" s="4" t="inlineStr">
        <is>
          <t>44; 38</t>
        </is>
      </c>
      <c r="J82" s="4" t="inlineStr">
        <is>
          <t>SRS-AO-2026-CIRCUITS</t>
        </is>
      </c>
    </row>
    <row r="83">
      <c r="A83" s="4" t="inlineStr">
        <is>
          <t>Sydney Ring South (Reinforcing Sydney, Newcastle and Wollongong Supply)</t>
        </is>
      </c>
      <c r="B83" s="4" t="inlineStr">
        <is>
          <t>Sydney Ring South</t>
        </is>
      </c>
      <c r="C83" s="4" t="inlineStr">
        <is>
          <t>lines</t>
        </is>
      </c>
      <c r="D83" s="4" t="inlineStr">
        <is>
          <t>1</t>
        </is>
      </c>
      <c r="E83" s="4" t="inlineStr">
        <is>
          <t>supported</t>
        </is>
      </c>
      <c r="F83" s="4" t="inlineStr">
        <is>
          <t>1</t>
        </is>
      </c>
      <c r="G83" s="4" t="inlineStr">
        <is>
          <t>A single new line is described between Bannaby and South Creek; the other line works are rebuild and reconductoring of existing lines. Transgrid's own PADR (Option 6) likewise describes a single new 500 kV double circuit line commissioned from Bannaby to South Western Sydney.</t>
        </is>
      </c>
      <c r="H83" s="4" t="inlineStr">
        <is>
          <t>HUM-AEMO-2026-ISP-A5; SRS-TG-2026-PADR</t>
        </is>
      </c>
      <c r="I83" s="4" t="inlineStr">
        <is>
          <t>44; 38</t>
        </is>
      </c>
      <c r="J83" s="4" t="inlineStr">
        <is>
          <t>SRS-AO-2026-LINES</t>
        </is>
      </c>
    </row>
    <row r="84">
      <c r="A84" s="5" t="inlineStr">
        <is>
          <t>Sydney Ring South (Reinforcing Sydney, Newcastle and Wollongong Supply)</t>
        </is>
      </c>
      <c r="B84" s="5" t="inlineStr">
        <is>
          <t>Sydney Ring South</t>
        </is>
      </c>
      <c r="C84" s="5" t="inlineStr">
        <is>
          <t>alt_routes</t>
        </is>
      </c>
      <c r="D84" s="5" t="inlineStr">
        <is>
          <t>1</t>
        </is>
      </c>
      <c r="E84" s="5" t="inlineStr">
        <is>
          <t>judgment</t>
        </is>
      </c>
      <c r="F84" s="5" t="inlineStr"/>
      <c r="G84" s="5" t="inlineStr">
        <is>
          <t>No archived source counts alternative routes. The count rests on the author's reading of PADR Figure 2.5 and on the Sydney Ring providing a 500 kV path north of Bannaby; shared South Creek and Sydney West interfaces mean geographic diversity is not equivalent to independent route security.</t>
        </is>
      </c>
      <c r="H84" s="5" t="inlineStr"/>
      <c r="I84" s="5" t="inlineStr"/>
      <c r="J84" s="5" t="n"/>
    </row>
    <row r="85">
      <c r="A85" s="6" t="inlineStr">
        <is>
          <t>Sydney Ring South (Reinforcing Sydney, Newcastle and Wollongong Supply)</t>
        </is>
      </c>
      <c r="B85" s="6" t="inlineStr">
        <is>
          <t>Sydney Ring South</t>
        </is>
      </c>
      <c r="C85" s="6" t="inlineStr">
        <is>
          <t>syncons_mva</t>
        </is>
      </c>
      <c r="D85" s="6" t="inlineStr">
        <is>
          <t>0</t>
        </is>
      </c>
      <c r="E85" s="6" t="inlineStr">
        <is>
          <t>gap</t>
        </is>
      </c>
      <c r="F85" s="6" t="inlineStr"/>
      <c r="G85" s="6" t="inlineStr">
        <is>
          <t>No archived source states the presence or absence of synchronous condensers for this project; the now-archived PADR does not mention synchronous condensers either. The archived reactive plant is four 120 MVAr line shunt reactors.</t>
        </is>
      </c>
      <c r="H85" s="6" t="inlineStr"/>
      <c r="I85" s="6" t="inlineStr"/>
      <c r="J85" s="6" t="n"/>
    </row>
    <row r="86">
      <c r="A86" s="6" t="inlineStr">
        <is>
          <t>Sydney Ring South (Reinforcing Sydney, Newcastle and Wollongong Supply)</t>
        </is>
      </c>
      <c r="B86" s="6" t="inlineStr">
        <is>
          <t>Sydney Ring South</t>
        </is>
      </c>
      <c r="C86" s="6" t="inlineStr">
        <is>
          <t>hubs</t>
        </is>
      </c>
      <c r="D86" s="6" t="inlineStr">
        <is>
          <t>0</t>
        </is>
      </c>
      <c r="E86" s="6" t="inlineStr">
        <is>
          <t>gap</t>
        </is>
      </c>
      <c r="F86" s="6" t="inlineStr"/>
      <c r="G86" s="6" t="inlineStr">
        <is>
          <t>No archived source counts hubs for Sydney Ring South. AEMO records REZ N11 + N12 capacity of 2,000 MW attributed to the option but does not count connection hubs.</t>
        </is>
      </c>
      <c r="H86" s="6" t="inlineStr"/>
      <c r="I86" s="6" t="inlineStr"/>
      <c r="J86" s="6" t="n"/>
    </row>
    <row r="87">
      <c r="A87" s="4" t="inlineStr">
        <is>
          <t>Sydney Ring South (Reinforcing Sydney, Newcastle and Wollongong Supply)</t>
        </is>
      </c>
      <c r="B87" s="4" t="inlineStr">
        <is>
          <t>Sydney Ring South</t>
        </is>
      </c>
      <c r="C87" s="4" t="inlineStr">
        <is>
          <t>transformers</t>
        </is>
      </c>
      <c r="D87" s="4" t="inlineStr">
        <is>
          <t>4500</t>
        </is>
      </c>
      <c r="E87" s="4" t="inlineStr">
        <is>
          <t>supported</t>
        </is>
      </c>
      <c r="F87" s="4" t="inlineStr">
        <is>
          <t>4500</t>
        </is>
      </c>
      <c r="G87" s="4" t="inlineStr">
        <is>
          <t>AEMO states the South Creek 330/500 kV upgrade includes three 1,500 MVA 500/330 kV transformers, corresponding to the chart's 4,500 MVA installed rating. The superseded 2024 alternative Option 2 had two 1,500 MVA units.</t>
        </is>
      </c>
      <c r="H87" s="4" t="inlineStr">
        <is>
          <t>HUM-AEMO-2026-ISP-A5</t>
        </is>
      </c>
      <c r="I87" s="4" t="inlineStr">
        <is>
          <t>44</t>
        </is>
      </c>
      <c r="J87" s="4" t="inlineStr">
        <is>
          <t>SRS-AO-2026-TRANSFORMERS</t>
        </is>
      </c>
    </row>
    <row r="88">
      <c r="A88" s="6" t="inlineStr">
        <is>
          <t>Sydney Ring South (Reinforcing Sydney, Newcastle and Wollongong Supply)</t>
        </is>
      </c>
      <c r="B88" s="6" t="inlineStr">
        <is>
          <t>Sydney Ring South</t>
        </is>
      </c>
      <c r="C88" s="6" t="inlineStr">
        <is>
          <t>feeder_lines_km</t>
        </is>
      </c>
      <c r="D88" s="6" t="inlineStr">
        <is>
          <t>0</t>
        </is>
      </c>
      <c r="E88" s="6" t="inlineStr">
        <is>
          <t>gap</t>
        </is>
      </c>
      <c r="F88" s="6" t="inlineStr"/>
      <c r="G88" s="6" t="inlineStr">
        <is>
          <t>No archived source states hub-to-project feeder lines or their length for this project; the archived scope contains no feeder lines, but the absence is not stated as a quantity.</t>
        </is>
      </c>
      <c r="H88" s="6" t="inlineStr"/>
      <c r="I88" s="6" t="inlineStr"/>
      <c r="J88" s="6" t="n"/>
    </row>
    <row r="89">
      <c r="A89" s="5" t="inlineStr">
        <is>
          <t>VNI West (South West NSW REZ component)</t>
        </is>
      </c>
      <c r="B89" s="5" t="inlineStr">
        <is>
          <t>VNI West (NSW)</t>
        </is>
      </c>
      <c r="C89" s="5" t="inlineStr">
        <is>
          <t>date</t>
        </is>
      </c>
      <c r="D89" s="5" t="inlineStr">
        <is>
          <t>2031</t>
        </is>
      </c>
      <c r="E89" s="5" t="inlineStr">
        <is>
          <t>supported_with_boundary</t>
        </is>
      </c>
      <c r="F89" s="5" t="inlineStr">
        <is>
          <t>2031-11</t>
        </is>
      </c>
      <c r="G89" s="5" t="inlineStr">
        <is>
          <t>AEMO 2026 gives November 2031 as proponent timing for the whole VIC-NSW interconnector (Stage 2), not for the NSW component. The South West NSW REZ component's proponent timing is August 2029 (AEMO's earlier assumption was June 2030). A separate, earlier milestone is now archived: Transgrid's project page states the EIS for the NSW section was placed on public exhibition in August 2025, and NSW DPHI is reviewing the EIS, Amendment Report and Submissions Report toward a final approval decision by the State and Commonwealth governments anticipated in late 2026 (VNN-AO-2025-TG-EIS-EXHIBITED; VNN-AO-2026-TG-APPROVAL-TIMING). This is an approval-decision milestone, not a completion or in-service date, and does not change the 2029/2031 timing evidence.</t>
        </is>
      </c>
      <c r="H89" s="5" t="inlineStr">
        <is>
          <t>HUM-AEMO-2026-ISP-A5; VNN-TG-2026-PROJECTPAGE</t>
        </is>
      </c>
      <c r="I89" s="5" t="inlineStr">
        <is>
          <t>HUM-AEMO-2026-ISP-A5 pp52-53; VNN-TG-2026-PROJECTPAGE captured HTML page</t>
        </is>
      </c>
      <c r="J89" s="5" t="inlineStr">
        <is>
          <t>VNN-AO-2026-TIMING-VICNSW</t>
        </is>
      </c>
    </row>
    <row r="90">
      <c r="A90" s="5" t="inlineStr">
        <is>
          <t>VNI West (South West NSW REZ component)</t>
        </is>
      </c>
      <c r="B90" s="5" t="inlineStr">
        <is>
          <t>VNI West (NSW)</t>
        </is>
      </c>
      <c r="C90" s="5" t="inlineStr">
        <is>
          <t>cost_aud_billion</t>
        </is>
      </c>
      <c r="D90" s="5" t="inlineStr">
        <is>
          <t>3.7</t>
        </is>
      </c>
      <c r="E90" s="5" t="inlineStr">
        <is>
          <t>derived</t>
        </is>
      </c>
      <c r="F90" s="5" t="inlineStr"/>
      <c r="G90" s="5" t="inlineStr">
        <is>
          <t>No archived source states a NSW-only whole-project cost. The chart's 3.7 is half of a whole-interconnector amount, matched by the identical 3.7 in the VNI West (VIC) row. The only current whole-VNI figure is $7,600m ($2025, Class 4, two Dinawan transformers) per VNN-AO-2026-VNIWEST-TOTAL, which halves to 3.8, not 3.7; historical whole-VNI figures are VNN-AO-2024-VNIWEST-3499, VNN-AO-2024-VNIWEST-3614 and, from the AER, $3,963.6m ($Real 2022-23, VNN-AO-2024-AER-VNIWEST-TOTAL). The exact input the author halved is not reconstructible from the archive. The only NSW-specific approved amount now archived is the AER's stage 1 early works determination: Transgrid proposed $1,096.3 million ($Real 2022-23) for the New South Wales portion of the project (VNN-AO-2024-AER-CPA-PROPOSED), and the AER substituted $948.8 million ($Real 2022-23, VNN-AO-2024-AER-CPA-APPROVED). Both are a partial, stage 1 early works boundary, not the whole NSW component cost the chart cell implies, so neither resolves the chart's 3.7.</t>
        </is>
      </c>
      <c r="H90" s="5" t="inlineStr">
        <is>
          <t>HUM-AEMO-2026-ISP-A5; HUM-AEMO-2024-ISP-A5; VNN-AER-2024-CPADETERMINATION</t>
        </is>
      </c>
      <c r="I90" s="5" t="inlineStr">
        <is>
          <t>HUM-AEMO-2026-ISP-A5 p52; HUM-AEMO-2024-ISP-A5 p45; VNN-AER-2024-CPADETERMINATION pp3, 6-7</t>
        </is>
      </c>
      <c r="J90" s="5" t="inlineStr">
        <is>
          <t>VNN-AO-2026-VNIWEST-TOTAL</t>
        </is>
      </c>
    </row>
    <row r="91">
      <c r="A91" s="5" t="inlineStr">
        <is>
          <t>VNI West (South West NSW REZ component)</t>
        </is>
      </c>
      <c r="B91" s="5" t="inlineStr">
        <is>
          <t>VNI West (NSW)</t>
        </is>
      </c>
      <c r="C91" s="5" t="inlineStr">
        <is>
          <t>network_capacity_gw</t>
        </is>
      </c>
      <c r="D91" s="5" t="inlineStr">
        <is>
          <t>1.8</t>
        </is>
      </c>
      <c r="E91" s="5" t="inlineStr">
        <is>
          <t>supported_with_boundary</t>
        </is>
      </c>
      <c r="F91" s="5" t="inlineStr">
        <is>
          <t>1800</t>
        </is>
      </c>
      <c r="G91" s="5" t="inlineStr">
        <is>
          <t>AEMO 2026 states a +1,800 MW expansion of REZ transfer capacity from Dinawan, but only as the separately modelled N5 Option 2 third-transformer increment above the base N5 figure of 600 MW; it is not the NSW component's base capacity. AEMO 2020 separately reported +1,800 MW southward VIC-NSW transfer for the Kerang route, a different (whole-interconnector, superseded) boundary.</t>
        </is>
      </c>
      <c r="H91" s="5" t="inlineStr">
        <is>
          <t>HUM-AEMO-2026-ISP-A5; HUM-AEMO-2020-ISP-A3</t>
        </is>
      </c>
      <c r="I91" s="5" t="inlineStr">
        <is>
          <t>HUM-AEMO-2026-ISP-A5 p52; HUM-AEMO-2020-ISP-A3 p35</t>
        </is>
      </c>
      <c r="J91" s="5" t="inlineStr">
        <is>
          <t>VNN-AO-2026-REZ-1800</t>
        </is>
      </c>
    </row>
    <row r="92">
      <c r="A92" s="5" t="inlineStr">
        <is>
          <t>VNI West (South West NSW REZ component)</t>
        </is>
      </c>
      <c r="B92" s="5" t="inlineStr">
        <is>
          <t>VNI West (NSW)</t>
        </is>
      </c>
      <c r="C92" s="5" t="inlineStr">
        <is>
          <t>trunk_km</t>
        </is>
      </c>
      <c r="D92" s="5" t="inlineStr">
        <is>
          <t>240</t>
        </is>
      </c>
      <c r="E92" s="5" t="inlineStr">
        <is>
          <t>supported_with_boundary</t>
        </is>
      </c>
      <c r="F92" s="5" t="inlineStr">
        <is>
          <t>203</t>
        </is>
      </c>
      <c r="G92" s="5" t="inlineStr">
        <is>
          <t>PACR Table 6 (p48) gives an approximate NSW line length of 203 km for preferred Option 5A (184 km was Option 5, superseded). This is an indicative corridor-stage length between Dinawan and the WRL connection, not a built 500 kV trunk length as the chart defines it; no NSW-specific length is stated elsewhere.</t>
        </is>
      </c>
      <c r="H92" s="5" t="inlineStr">
        <is>
          <t>VNV-TRANSGRID-2023-PACR</t>
        </is>
      </c>
      <c r="I92" s="5" t="inlineStr">
        <is>
          <t>48</t>
        </is>
      </c>
      <c r="J92" s="5" t="inlineStr">
        <is>
          <t>VNN-AO-2023-PACR-NSW-LENGTH-203</t>
        </is>
      </c>
    </row>
    <row r="93">
      <c r="A93" s="5" t="inlineStr">
        <is>
          <t>VNI West (South West NSW REZ component)</t>
        </is>
      </c>
      <c r="B93" s="5" t="inlineStr">
        <is>
          <t>VNI West (NSW)</t>
        </is>
      </c>
      <c r="C93" s="5" t="inlineStr">
        <is>
          <t>millions_per_trunk_km</t>
        </is>
      </c>
      <c r="D93" s="5" t="inlineStr">
        <is>
          <t>15.416666666666668</t>
        </is>
      </c>
      <c r="E93" s="5" t="inlineStr">
        <is>
          <t>derived</t>
        </is>
      </c>
      <c r="F93" s="5" t="inlineStr"/>
      <c r="G93" s="5" t="inlineStr">
        <is>
          <t>Workbook ratio of the chart's own cost and trunk cells (3.7 billion / 240 km). The cost cell is an author split with no NSW-only whole-project figure archived (see cost_aud_billion), and the trunk cell's only archived figure (184 km, a PACR cost-estimating assumption, not the chart's boundary) does not match the chart's 240 km, so the ratio cannot be validated against any archived source.</t>
        </is>
      </c>
      <c r="H93" s="5" t="inlineStr"/>
      <c r="I93" s="5" t="inlineStr"/>
      <c r="J93" s="5" t="n"/>
    </row>
    <row r="94">
      <c r="A94" s="5" t="inlineStr">
        <is>
          <t>VNI West (South West NSW REZ component)</t>
        </is>
      </c>
      <c r="B94" s="5" t="inlineStr">
        <is>
          <t>VNI West (NSW)</t>
        </is>
      </c>
      <c r="C94" s="5" t="inlineStr">
        <is>
          <t>circuits</t>
        </is>
      </c>
      <c r="D94" s="5" t="inlineStr">
        <is>
          <t>2</t>
        </is>
      </c>
      <c r="E94" s="5" t="inlineStr">
        <is>
          <t>supported_with_boundary</t>
        </is>
      </c>
      <c r="F94" s="5" t="inlineStr">
        <is>
          <t>2</t>
        </is>
      </c>
      <c r="G94" s="5" t="inlineStr">
        <is>
          <t>AEMO 2026 describes upgrading the existing Dinawan - Wagga Wagga - Gugaa double-circuit line from 330 kV to 500 kV operation with a bypass at Wagga Wagga. Two circuits are therefore uprated existing circuits (built at 500 kV under Project EnergyConnect and HumeLink), not new-build circuits.</t>
        </is>
      </c>
      <c r="H94" s="5" t="inlineStr">
        <is>
          <t>HUM-AEMO-2026-ISP-A5</t>
        </is>
      </c>
      <c r="I94" s="5" t="inlineStr">
        <is>
          <t>52</t>
        </is>
      </c>
      <c r="J94" s="5" t="inlineStr">
        <is>
          <t>VNN-AO-2026-CIRCUITS-DC</t>
        </is>
      </c>
    </row>
    <row r="95">
      <c r="A95" s="5" t="inlineStr">
        <is>
          <t>VNI West (South West NSW REZ component)</t>
        </is>
      </c>
      <c r="B95" s="5" t="inlineStr">
        <is>
          <t>VNI West (NSW)</t>
        </is>
      </c>
      <c r="C95" s="5" t="inlineStr">
        <is>
          <t>lines</t>
        </is>
      </c>
      <c r="D95" s="5" t="inlineStr">
        <is>
          <t>1</t>
        </is>
      </c>
      <c r="E95" s="5" t="inlineStr">
        <is>
          <t>supported_with_boundary</t>
        </is>
      </c>
      <c r="F95" s="5" t="inlineStr">
        <is>
          <t>1</t>
        </is>
      </c>
      <c r="G95" s="5" t="inlineStr">
        <is>
          <t>The NSW component's line scope is the single Dinawan - Wagga Wagga - Gugaa double-circuit corridor, plus a Gugaa cut-in and a rebuild of a section of line TL51 between Gugaa and Wagga on the existing easement, which the source does not count as lines.</t>
        </is>
      </c>
      <c r="H95" s="5" t="inlineStr">
        <is>
          <t>HUM-AEMO-2026-ISP-A5</t>
        </is>
      </c>
      <c r="I95" s="5" t="inlineStr">
        <is>
          <t>52-53</t>
        </is>
      </c>
      <c r="J95" s="5" t="inlineStr">
        <is>
          <t>VNN-AO-2026-CIRCUITS-DC</t>
        </is>
      </c>
    </row>
    <row r="96">
      <c r="A96" s="5" t="inlineStr">
        <is>
          <t>VNI West (South West NSW REZ component)</t>
        </is>
      </c>
      <c r="B96" s="5" t="inlineStr">
        <is>
          <t>VNI West (NSW)</t>
        </is>
      </c>
      <c r="C96" s="5" t="inlineStr">
        <is>
          <t>alt_routes</t>
        </is>
      </c>
      <c r="D96" s="5" t="inlineStr">
        <is>
          <t>0</t>
        </is>
      </c>
      <c r="E96" s="5" t="inlineStr">
        <is>
          <t>judgment</t>
        </is>
      </c>
      <c r="F96" s="5" t="inlineStr"/>
      <c r="G96" s="5" t="inlineStr">
        <is>
          <t>Alternative-route counting is an author definition no source supplies. AEMO 2020 did present Shepparton and Kerang route alternatives for VNI West, and the current route was selected as option 5A in the May 2023 RIT-T, so a zero depends entirely on the author's definition of a live alternative.</t>
        </is>
      </c>
      <c r="H96" s="5" t="inlineStr">
        <is>
          <t>HUM-AEMO-2020-ISP-A3; HUM-AEMO-2026-ISP-A5</t>
        </is>
      </c>
      <c r="I96" s="5" t="inlineStr">
        <is>
          <t>HUM-AEMO-2020-ISP-A3 pp33-36; HUM-AEMO-2026-ISP-A5 p51</t>
        </is>
      </c>
      <c r="J96" s="5" t="n"/>
    </row>
    <row r="97">
      <c r="A97" s="6" t="inlineStr">
        <is>
          <t>VNI West (South West NSW REZ component)</t>
        </is>
      </c>
      <c r="B97" s="6" t="inlineStr">
        <is>
          <t>VNI West (NSW)</t>
        </is>
      </c>
      <c r="C97" s="6" t="inlineStr">
        <is>
          <t>syncons_mva</t>
        </is>
      </c>
      <c r="D97" s="6" t="inlineStr">
        <is>
          <t>0</t>
        </is>
      </c>
      <c r="E97" s="6" t="inlineStr">
        <is>
          <t>gap</t>
        </is>
      </c>
      <c r="F97" s="6" t="inlineStr"/>
      <c r="G97" s="6" t="inlineStr">
        <is>
          <t>No archived source states a synchronous condenser rating for the South West NSW REZ component. The 2026 scope list names 500 kV line shunt reactors and reactor reconfiguration but no synchronous condensers, which is not a stated zero.</t>
        </is>
      </c>
      <c r="H97" s="6" t="inlineStr"/>
      <c r="I97" s="6" t="inlineStr"/>
      <c r="J97" s="6" t="n"/>
    </row>
    <row r="98">
      <c r="A98" s="5" t="inlineStr">
        <is>
          <t>VNI West (South West NSW REZ component)</t>
        </is>
      </c>
      <c r="B98" s="5" t="inlineStr">
        <is>
          <t>VNI West (NSW)</t>
        </is>
      </c>
      <c r="C98" s="5" t="inlineStr">
        <is>
          <t>hubs</t>
        </is>
      </c>
      <c r="D98" s="5" t="inlineStr">
        <is>
          <t>1</t>
        </is>
      </c>
      <c r="E98" s="5" t="inlineStr">
        <is>
          <t>judgment</t>
        </is>
      </c>
      <c r="F98" s="5" t="inlineStr"/>
      <c r="G98" s="5" t="inlineStr">
        <is>
          <t>No source calls any NSW element a hub. The Dinawan 500 kV switchyard is a switchyard with 500/330 kV transformers and line reactors; the source does not describe it as a REZ hosting hub, so counting it as one hub is an author definition.</t>
        </is>
      </c>
      <c r="H98" s="5" t="inlineStr">
        <is>
          <t>HUM-AEMO-2026-ISP-A5</t>
        </is>
      </c>
      <c r="I98" s="5" t="inlineStr">
        <is>
          <t>52</t>
        </is>
      </c>
      <c r="J98" s="5" t="n"/>
    </row>
    <row r="99">
      <c r="A99" s="6" t="inlineStr">
        <is>
          <t>VNI West (South West NSW REZ component)</t>
        </is>
      </c>
      <c r="B99" s="6" t="inlineStr">
        <is>
          <t>VNI West (NSW)</t>
        </is>
      </c>
      <c r="C99" s="6" t="inlineStr">
        <is>
          <t>transformers</t>
        </is>
      </c>
      <c r="D99" s="6" t="inlineStr">
        <is>
          <t>6000</t>
        </is>
      </c>
      <c r="E99" s="6" t="inlineStr">
        <is>
          <t>contradicted</t>
        </is>
      </c>
      <c r="F99" s="6" t="inlineStr">
        <is>
          <t>1500</t>
        </is>
      </c>
      <c r="G99" s="6" t="inlineStr">
        <is>
          <t>AEMO 2026 specifies three 500/330 kV 1,500 MVA transformers at the Dinawan switchyard in the N5 Option 1 / Option 2 Stage 1 scope, and states that the $7,600m cost includes two transformers only. Neither the two-transformer nor the three-transformer configuration reaches 6,000 MVA at the stated 1,500 MVA unit rating; the 2024 scope named two such transformers.</t>
        </is>
      </c>
      <c r="H99" s="6" t="inlineStr">
        <is>
          <t>HUM-AEMO-2026-ISP-A5; HUM-AEMO-2024-ISP-A5</t>
        </is>
      </c>
      <c r="I99" s="6" t="inlineStr">
        <is>
          <t>HUM-AEMO-2026-ISP-A5 p52; HUM-AEMO-2024-ISP-A5 p45</t>
        </is>
      </c>
      <c r="J99" s="6" t="inlineStr">
        <is>
          <t>VNN-AO-2026-TRF-3X1500</t>
        </is>
      </c>
    </row>
    <row r="100">
      <c r="A100" s="6" t="inlineStr">
        <is>
          <t>VNI West (South West NSW REZ component)</t>
        </is>
      </c>
      <c r="B100" s="6" t="inlineStr">
        <is>
          <t>VNI West (NSW)</t>
        </is>
      </c>
      <c r="C100" s="6" t="inlineStr">
        <is>
          <t>feeder_lines_km</t>
        </is>
      </c>
      <c r="D100" s="6" t="inlineStr">
        <is>
          <t>0</t>
        </is>
      </c>
      <c r="E100" s="6" t="inlineStr">
        <is>
          <t>gap</t>
        </is>
      </c>
      <c r="F100" s="6" t="inlineStr"/>
      <c r="G100" s="6" t="inlineStr">
        <is>
          <t>No archived source states a feeder-line length for the South West NSW REZ component, and the sources do not use a feeder-line category, so the zero is neither supported nor contradicted.</t>
        </is>
      </c>
      <c r="H100" s="6" t="inlineStr"/>
      <c r="I100" s="6" t="inlineStr"/>
      <c r="J100" s="6" t="n"/>
    </row>
    <row r="101">
      <c r="A101" s="4" t="inlineStr">
        <is>
          <t>VNI West (Victoria)</t>
        </is>
      </c>
      <c r="B101" s="4" t="inlineStr">
        <is>
          <t>VNI West (VIC)</t>
        </is>
      </c>
      <c r="C101" s="4" t="inlineStr">
        <is>
          <t>date</t>
        </is>
      </c>
      <c r="D101" s="4" t="inlineStr">
        <is>
          <t>2031</t>
        </is>
      </c>
      <c r="E101" s="4" t="inlineStr">
        <is>
          <t>supported</t>
        </is>
      </c>
      <c r="F101" s="4" t="inlineStr">
        <is>
          <t>2031-11</t>
        </is>
      </c>
      <c r="G101" s="4" t="inlineStr">
        <is>
          <t>AEMO's 2026 ISP records proponent-advised timing of November 2031 for the VIC-NSW component of VNI West.</t>
        </is>
      </c>
      <c r="H101" s="4" t="inlineStr">
        <is>
          <t>HUM-AEMO-2026-ISP-A5</t>
        </is>
      </c>
      <c r="I101" s="4" t="inlineStr">
        <is>
          <t>53</t>
        </is>
      </c>
      <c r="J101" s="4" t="inlineStr">
        <is>
          <t>VNV-AO-2026-COMPLETION</t>
        </is>
      </c>
    </row>
    <row r="102">
      <c r="A102" s="5" t="inlineStr">
        <is>
          <t>VNI West (Victoria)</t>
        </is>
      </c>
      <c r="B102" s="5" t="inlineStr">
        <is>
          <t>VNI West (VIC)</t>
        </is>
      </c>
      <c r="C102" s="5" t="inlineStr">
        <is>
          <t>cost_aud_billion</t>
        </is>
      </c>
      <c r="D102" s="5" t="inlineStr">
        <is>
          <t>3.7</t>
        </is>
      </c>
      <c r="E102" s="5" t="inlineStr">
        <is>
          <t>derived</t>
        </is>
      </c>
      <c r="F102" s="5" t="inlineStr">
        <is>
          <t>7.6</t>
        </is>
      </c>
      <c r="G102" s="5" t="inlineStr">
        <is>
          <t>No source states $3.7bn for VNI West. The chart value equals half of the 2026 ISP reported $7,600m ($2025, Class 4 -30%/+50%) for 'South West NSW REZ + Interconnector' (VNV-AO-2026-REPORTED-TOTAL), split evenly across the VIC and NSW chart rows. AEMO publishes no Victoria/NSW allocation; the 2024 observations ($3,499m in 2020-21 dollars inclusive of $315m WRL, VNV-AO-2024-ISP-OPT1-COST; $3,614m modelling conversion, VNV-AO-2024-ISP-MODELLING) are also whole-interconnector and not comparable. The PACR (now archived) does state a Victoria/NSW split for its own May 2023 Option 5A estimate ($1,755m Victoria / $1,744m New South Wales, FY2020-21 dollars, VNV-AO-2023-PACR-COST) and the PADR similarly splits its superseded Option 1 estimate ($1,605m Victoria / $1,651m New South Wales, VNV-AO-2022-PADR-COST). These are captured as observations but are not used to construct a Victoria-only chart headline: they are a different vintage, price basis and RIT-T scope than the 2026 ISP's $7,600m reported total, and AEMO's current reporting still bundles 'South West NSW REZ + Interconnector' as one figure with no allocation of its own.</t>
        </is>
      </c>
      <c r="H102" s="5" t="inlineStr">
        <is>
          <t>HUM-AEMO-2026-ISP-A5; HUM-AEMO-2024-ISP-A5</t>
        </is>
      </c>
      <c r="I102" s="5" t="inlineStr">
        <is>
          <t>HUM-AEMO-2026-ISP-A5 p52; HUM-AEMO-2024-ISP-A5 p45</t>
        </is>
      </c>
      <c r="J102" s="5" t="inlineStr">
        <is>
          <t>VNV-AO-2026-REPORTED-TOTAL</t>
        </is>
      </c>
    </row>
    <row r="103">
      <c r="A103" s="5" t="inlineStr">
        <is>
          <t>VNI West (Victoria)</t>
        </is>
      </c>
      <c r="B103" s="5" t="inlineStr">
        <is>
          <t>VNI West (VIC)</t>
        </is>
      </c>
      <c r="C103" s="5" t="inlineStr">
        <is>
          <t>network_capacity_gw</t>
        </is>
      </c>
      <c r="D103" s="5" t="inlineStr">
        <is>
          <t>1.8</t>
        </is>
      </c>
      <c r="E103" s="5" t="inlineStr">
        <is>
          <t>supported_with_boundary</t>
        </is>
      </c>
      <c r="F103" s="5" t="inlineStr">
        <is>
          <t>1.89</t>
        </is>
      </c>
      <c r="G103" s="5" t="inlineStr">
        <is>
          <t>No source states a single 1.8 GW capacity for VNI West. The 2026 ISP states directional additional network capacity for the VIC-NSW component: forward 1,890 MW and reverse 1,670 MW, plus REZ V1 1,580 MW and WV2 200 MW. The only 1,800 MW in the sources is the separate third-Dinawan-transformer REZ expansion (VNV-AO-2026-CAP-THIRD-TF), a different boundary.</t>
        </is>
      </c>
      <c r="H103" s="5" t="inlineStr">
        <is>
          <t>HUM-AEMO-2026-ISP-A5</t>
        </is>
      </c>
      <c r="I103" s="5" t="inlineStr">
        <is>
          <t>52-53</t>
        </is>
      </c>
      <c r="J103" s="5" t="inlineStr">
        <is>
          <t>VNV-AO-2026-CAP-FORWARD</t>
        </is>
      </c>
    </row>
    <row r="104">
      <c r="A104" s="5" t="inlineStr">
        <is>
          <t>VNI West (Victoria)</t>
        </is>
      </c>
      <c r="B104" s="5" t="inlineStr">
        <is>
          <t>VNI West (VIC)</t>
        </is>
      </c>
      <c r="C104" s="5" t="inlineStr">
        <is>
          <t>trunk_km</t>
        </is>
      </c>
      <c r="D104" s="5" t="inlineStr">
        <is>
          <t>240</t>
        </is>
      </c>
      <c r="E104" s="5" t="inlineStr">
        <is>
          <t>supported_with_boundary</t>
        </is>
      </c>
      <c r="F104" s="5" t="inlineStr">
        <is>
          <t>206</t>
        </is>
      </c>
      <c r="G104" s="5" t="inlineStr">
        <is>
          <t>The 2023 PACR (Table 6, p48) states an approximate indicative line length of 206 km for the Victorian portion of the preferred Option 5A route (between EnergyConnect at Dinawan and the WRL connection point), with 203 km for the New South Wales portion; a route has not yet been determined and the figure is taken as the centre of the area of interest. This is a state-portion boundary, not the chart's implied whole-project trunk length, and belongs to a different (2023, FY2020-21 dollars) vintage than the 2026 ISP figures used elsewhere on this row. The PADR's earlier, superseded Option 1 route (via Bendigo) was approximately 400 km whole-route with no state split stated.</t>
        </is>
      </c>
      <c r="H104" s="5" t="inlineStr">
        <is>
          <t>VNV-TRANSGRID-2023-PACR</t>
        </is>
      </c>
      <c r="I104" s="5" t="inlineStr">
        <is>
          <t>VNV-TRANSGRID-2023-PACR p48</t>
        </is>
      </c>
      <c r="J104" s="5" t="inlineStr">
        <is>
          <t>VNV-AO-2023-PACR-ROUTE-LENGTH</t>
        </is>
      </c>
    </row>
    <row r="105">
      <c r="A105" s="6" t="inlineStr">
        <is>
          <t>VNI West (Victoria)</t>
        </is>
      </c>
      <c r="B105" s="6" t="inlineStr">
        <is>
          <t>VNI West (VIC)</t>
        </is>
      </c>
      <c r="C105" s="6" t="inlineStr">
        <is>
          <t>millions_per_trunk_km</t>
        </is>
      </c>
      <c r="D105" s="6" t="inlineStr">
        <is>
          <t>15.416666666666668</t>
        </is>
      </c>
      <c r="E105" s="6" t="inlineStr">
        <is>
          <t>gap</t>
        </is>
      </c>
      <c r="F105" s="6" t="inlineStr"/>
      <c r="G105" s="6" t="inlineStr">
        <is>
          <t>The trunk_km gap is now closed with a Victorian-portion length (206 km, PACR Table 6), but the numerator remains unusable: the chart's cost cell is a derived half of a whole-interconnector figure and no archived source states a Victoria-only cost for the current (2026 ISP) reported total that this pack treats as authoritative (see the cost_aud_billion finding and the AUTHOR_DECISION_REQUIRED warning on Victoria/NSW cost allocation). The ratio cannot be computed without constructing a Victoria-only cost, which this pack does not do.</t>
        </is>
      </c>
      <c r="H105" s="6" t="inlineStr"/>
      <c r="I105" s="6" t="inlineStr"/>
      <c r="J105" s="6" t="n"/>
    </row>
    <row r="106">
      <c r="A106" s="4" t="inlineStr">
        <is>
          <t>VNI West (Victoria)</t>
        </is>
      </c>
      <c r="B106" s="4" t="inlineStr">
        <is>
          <t>VNI West (VIC)</t>
        </is>
      </c>
      <c r="C106" s="4" t="inlineStr">
        <is>
          <t>circuits</t>
        </is>
      </c>
      <c r="D106" s="4" t="inlineStr">
        <is>
          <t>2</t>
        </is>
      </c>
      <c r="E106" s="4" t="inlineStr">
        <is>
          <t>supported</t>
        </is>
      </c>
      <c r="F106" s="4" t="inlineStr">
        <is>
          <t>2</t>
        </is>
      </c>
      <c r="G106" s="4" t="inlineStr">
        <is>
          <t>The 2026 ISP describes a new 500 kV double-circuit overhead line from near Bulgana to Tragowel (near Kerang) to Dinawan; the 2024 ISP describes the same double-circuit configuration. The 2023 s16Y Ministerial Order (Schedule 1, the earliest statutory specification of the preferred option) already specified the same new 500 kV double-circuit overhead line from a new terminal station near Kerang to Dinawan and to Bulgana Terminal Station.</t>
        </is>
      </c>
      <c r="H106" s="4" t="inlineStr">
        <is>
          <t>HUM-AEMO-2026-ISP-A5; VNV-VIC-GAZETTE-2023-S267</t>
        </is>
      </c>
      <c r="I106" s="4" t="inlineStr">
        <is>
          <t>HUM-AEMO-2026-ISP-A5 p53; VNV-VIC-GAZETTE-2023-S267 p7</t>
        </is>
      </c>
      <c r="J106" s="4" t="inlineStr">
        <is>
          <t>VNV-AO-2026-CIRCUITS</t>
        </is>
      </c>
    </row>
    <row r="107">
      <c r="A107" s="4" t="inlineStr">
        <is>
          <t>VNI West (Victoria)</t>
        </is>
      </c>
      <c r="B107" s="4" t="inlineStr">
        <is>
          <t>VNI West (VIC)</t>
        </is>
      </c>
      <c r="C107" s="4" t="inlineStr">
        <is>
          <t>lines</t>
        </is>
      </c>
      <c r="D107" s="4" t="inlineStr">
        <is>
          <t>1</t>
        </is>
      </c>
      <c r="E107" s="4" t="inlineStr">
        <is>
          <t>supported</t>
        </is>
      </c>
      <c r="F107" s="4" t="inlineStr">
        <is>
          <t>1</t>
        </is>
      </c>
      <c r="G107" s="4" t="inlineStr">
        <is>
          <t>The 2026 ISP describes one new 500 kV double-circuit line on the Bulgana - Tragowel - Dinawan corridor. The 2023 s16Y Ministerial Order (Schedule 1) specifies the same single new line as the VNI West preferred option; no route length is stated in either.</t>
        </is>
      </c>
      <c r="H107" s="4" t="inlineStr">
        <is>
          <t>HUM-AEMO-2026-ISP-A5; VNV-VIC-GAZETTE-2023-S267</t>
        </is>
      </c>
      <c r="I107" s="4" t="inlineStr">
        <is>
          <t>HUM-AEMO-2026-ISP-A5 p53; VNV-VIC-GAZETTE-2023-S267 p7</t>
        </is>
      </c>
      <c r="J107" s="4" t="inlineStr">
        <is>
          <t>VNV-AO-2026-LINES</t>
        </is>
      </c>
    </row>
    <row r="108">
      <c r="A108" s="5" t="inlineStr">
        <is>
          <t>VNI West (Victoria)</t>
        </is>
      </c>
      <c r="B108" s="5" t="inlineStr">
        <is>
          <t>VNI West (VIC)</t>
        </is>
      </c>
      <c r="C108" s="5" t="inlineStr">
        <is>
          <t>alt_routes</t>
        </is>
      </c>
      <c r="D108" s="5" t="inlineStr">
        <is>
          <t>0</t>
        </is>
      </c>
      <c r="E108" s="5" t="inlineStr">
        <is>
          <t>judgment</t>
        </is>
      </c>
      <c r="F108" s="5" t="inlineStr"/>
      <c r="G108" s="5" t="inlineStr">
        <is>
          <t>Alternative-route counting is an author definition; no archived source counts 'alternative routes' the way the chart cell implies. The PADR and PACR are now archived and do describe multiple credible options: the PADR assessed Option 1 (VNI West, preferred, via Bendigo) against Option 2 (a Victorian Transmission Link brought forward ahead of VNI West); the Additional Consultation Report and PACR assessed Option 5, Option 5A (preferred) and two sensitivities (Option 5A westerly sensitivity; Option 5 without series compensation), with Options 1, 3 and 3A considered and not progressed. None of this constitutes a stated 'alt_routes' count for the chart's purposes.</t>
        </is>
      </c>
      <c r="H108" s="5" t="inlineStr">
        <is>
          <t>VNV-TRANSGRID-2022-PADR; VNV-TRANSGRID-2023-PACR</t>
        </is>
      </c>
      <c r="I108" s="5" t="inlineStr">
        <is>
          <t>VNV-TRANSGRID-2022-PADR pp9-10, 53; VNV-TRANSGRID-2023-PACR pp9-10, 48</t>
        </is>
      </c>
      <c r="J108" s="5" t="n"/>
    </row>
    <row r="109">
      <c r="A109" s="6" t="inlineStr">
        <is>
          <t>VNI West (Victoria)</t>
        </is>
      </c>
      <c r="B109" s="6" t="inlineStr">
        <is>
          <t>VNI West (VIC)</t>
        </is>
      </c>
      <c r="C109" s="6" t="inlineStr">
        <is>
          <t>syncons_mva</t>
        </is>
      </c>
      <c r="D109" s="6" t="inlineStr">
        <is>
          <t>0</t>
        </is>
      </c>
      <c r="E109" s="6" t="inlineStr">
        <is>
          <t>gap</t>
        </is>
      </c>
      <c r="F109" s="6" t="inlineStr"/>
      <c r="G109" s="6" t="inlineStr">
        <is>
          <t>No archived source states synchronous condenser MVA for VNI West. The itemised 2026 scope lists series compensation, 500 kV line shunt reactors and up to +/- 400 MVAr dynamic reactive compensation at Tragowel instead (VNV-AO-2026-REACTIVE); absence from a scope list is not a stated value.</t>
        </is>
      </c>
      <c r="H109" s="6" t="inlineStr">
        <is>
          <t>HUM-AEMO-2026-ISP-A5</t>
        </is>
      </c>
      <c r="I109" s="6" t="inlineStr">
        <is>
          <t>53</t>
        </is>
      </c>
      <c r="J109" s="6" t="n"/>
    </row>
    <row r="110">
      <c r="A110" s="5" t="inlineStr">
        <is>
          <t>VNI West (Victoria)</t>
        </is>
      </c>
      <c r="B110" s="5" t="inlineStr">
        <is>
          <t>VNI West (VIC)</t>
        </is>
      </c>
      <c r="C110" s="5" t="inlineStr">
        <is>
          <t>hubs</t>
        </is>
      </c>
      <c r="D110" s="5" t="inlineStr">
        <is>
          <t>1</t>
        </is>
      </c>
      <c r="E110" s="5" t="inlineStr">
        <is>
          <t>judgment</t>
        </is>
      </c>
      <c r="F110" s="5" t="inlineStr"/>
      <c r="G110" s="5" t="inlineStr">
        <is>
          <t>Sources do not count hubs. The 2026 scope names a new Tragowel Terminal Station (Victoria), a terminal station near Bulgana and the Dinawan 500 kV switchyard (NSW); counting one hub for the Victorian row is an author allocation.</t>
        </is>
      </c>
      <c r="H110" s="5" t="inlineStr">
        <is>
          <t>HUM-AEMO-2026-ISP-A5</t>
        </is>
      </c>
      <c r="I110" s="5" t="inlineStr">
        <is>
          <t>53</t>
        </is>
      </c>
      <c r="J110" s="5" t="n"/>
    </row>
    <row r="111">
      <c r="A111" s="5" t="inlineStr">
        <is>
          <t>VNI West (Victoria)</t>
        </is>
      </c>
      <c r="B111" s="5" t="inlineStr">
        <is>
          <t>VNI West (VIC)</t>
        </is>
      </c>
      <c r="C111" s="5" t="inlineStr">
        <is>
          <t>transformers</t>
        </is>
      </c>
      <c r="D111" s="5" t="inlineStr">
        <is>
          <t>2000</t>
        </is>
      </c>
      <c r="E111" s="5" t="inlineStr">
        <is>
          <t>derived</t>
        </is>
      </c>
      <c r="F111" s="5" t="inlineStr">
        <is>
          <t>1000</t>
        </is>
      </c>
      <c r="G111" s="5" t="inlineStr">
        <is>
          <t>No source states 2,000 MVA. The chart value is the sum of the two 500/220 kV 1,000 MVA transformers AEMO specifies for the new Tragowel Terminal Station (VNV-AO-2026-TRAGOWEL-TF). The Dinawan 500/330 kV 1,500 MVA transformers (two in 2024, three in 2026) sit at the NSW end and are not in this figure.</t>
        </is>
      </c>
      <c r="H111" s="5" t="inlineStr">
        <is>
          <t>HUM-AEMO-2026-ISP-A5</t>
        </is>
      </c>
      <c r="I111" s="5" t="inlineStr">
        <is>
          <t>53</t>
        </is>
      </c>
      <c r="J111" s="5" t="inlineStr">
        <is>
          <t>VNV-AO-2026-TRAGOWEL-TF</t>
        </is>
      </c>
    </row>
    <row r="112">
      <c r="A112" s="6" t="inlineStr">
        <is>
          <t>VNI West (Victoria)</t>
        </is>
      </c>
      <c r="B112" s="6" t="inlineStr">
        <is>
          <t>VNI West (VIC)</t>
        </is>
      </c>
      <c r="C112" s="6" t="inlineStr">
        <is>
          <t>feeder_lines_km</t>
        </is>
      </c>
      <c r="D112" s="6" t="inlineStr">
        <is>
          <t>0</t>
        </is>
      </c>
      <c r="E112" s="6" t="inlineStr">
        <is>
          <t>gap</t>
        </is>
      </c>
      <c r="F112" s="6" t="inlineStr"/>
      <c r="G112" s="6" t="inlineStr">
        <is>
          <t>No archived source states feeder or connection line lengths. The 2026 scope mentions 220 kV connections from the new Tragowel Terminal Station to the existing 220 kV lines near Kerang without any length.</t>
        </is>
      </c>
      <c r="H112" s="6" t="inlineStr"/>
      <c r="I112" s="6" t="inlineStr"/>
      <c r="J112" s="6" t="n"/>
    </row>
    <row r="113">
      <c r="A113" s="4" t="inlineStr">
        <is>
          <t>Western Renewables Link</t>
        </is>
      </c>
      <c r="B113" s="4" t="inlineStr">
        <is>
          <t>Western Renewables Link</t>
        </is>
      </c>
      <c r="C113" s="4" t="inlineStr">
        <is>
          <t>date</t>
        </is>
      </c>
      <c r="D113" s="4" t="inlineStr">
        <is>
          <t>2029</t>
        </is>
      </c>
      <c r="E113" s="4" t="inlineStr">
        <is>
          <t>supported</t>
        </is>
      </c>
      <c r="F113" s="4" t="inlineStr">
        <is>
          <t>November 2029</t>
        </is>
      </c>
      <c r="G113" s="4" t="inlineStr">
        <is>
          <t>AEMO 2026 states WRL is anticipated and expected to be completed in November 2029, which falls in the chart year 2029. The 2024 representation said mid-2027; see CONTRADICTION warning.</t>
        </is>
      </c>
      <c r="H113" s="4" t="inlineStr">
        <is>
          <t>HUM-AEMO-2026-ISP-A5</t>
        </is>
      </c>
      <c r="I113" s="4" t="inlineStr">
        <is>
          <t>24</t>
        </is>
      </c>
      <c r="J113" s="4" t="inlineStr">
        <is>
          <t>WRL-AO-2026-COMPLETION-NOV2029</t>
        </is>
      </c>
    </row>
    <row r="114">
      <c r="A114" s="5" t="inlineStr">
        <is>
          <t>Western Renewables Link</t>
        </is>
      </c>
      <c r="B114" s="5" t="inlineStr">
        <is>
          <t>Western Renewables Link</t>
        </is>
      </c>
      <c r="C114" s="5" t="inlineStr">
        <is>
          <t>cost_aud_billion</t>
        </is>
      </c>
      <c r="D114" s="5" t="inlineStr">
        <is>
          <t>1.6</t>
        </is>
      </c>
      <c r="E114" s="5" t="inlineStr">
        <is>
          <t>supported_with_boundary</t>
        </is>
      </c>
      <c r="F114" s="5" t="inlineStr">
        <is>
          <t>315</t>
        </is>
      </c>
      <c r="G114" s="5" t="inlineStr">
        <is>
          <t>No archived source states a WRL cost of $1.6 billion, or any standalone WRL estimate. The only archived WRL-specific amount is $315 million in 2020-21 (FY2020-21) dollars, stated by AEMO 2024 as included within the VNI West quoted project cost of $3,499 million - a different boundary, price basis and date. The now-archived joint VNI West PACR (VNV-TRANSGRID-2023-PACR, the primary source AEMO's 2024 summary draws on) independently states the same $315 million WRL incremental cost, itemised separately as 'Included cost' within both the Option 5 ($3,406m) and Option 5A ($3,499m) all-states totals, and describes it as the direct cost of modifying WRL so it can connect VNI West at Bulgana. supported_value is in AUD million, not the chart's AUD billion; no conversion is asserted. Both AEMO project tables leave WRL's reported/expected cost blank. See SOURCE_UNAVAILABLE warnings for the 2019 PACR, VicGrid/NEVA and the AusNet cost update, and the AUTHOR_DECISION_REQUIRED note on the chart's $1.6 billion figure's likely origin.</t>
        </is>
      </c>
      <c r="H114" s="5" t="inlineStr">
        <is>
          <t>HUM-AEMO-2024-ISP-A5; VNV-TRANSGRID-2023-PACR</t>
        </is>
      </c>
      <c r="I114" s="5" t="inlineStr">
        <is>
          <t>45; 48</t>
        </is>
      </c>
      <c r="J114" s="5" t="inlineStr">
        <is>
          <t>WRL-AO-2024-WRL-IN-VNI-315</t>
        </is>
      </c>
    </row>
    <row r="115">
      <c r="A115" s="5" t="inlineStr">
        <is>
          <t>Western Renewables Link</t>
        </is>
      </c>
      <c r="B115" s="5" t="inlineStr">
        <is>
          <t>Western Renewables Link</t>
        </is>
      </c>
      <c r="C115" s="5" t="inlineStr">
        <is>
          <t>network_capacity_gw</t>
        </is>
      </c>
      <c r="D115" s="5" t="inlineStr">
        <is>
          <t>3</t>
        </is>
      </c>
      <c r="E115" s="5" t="inlineStr">
        <is>
          <t>supported_with_boundary</t>
        </is>
      </c>
      <c r="F115" s="5" t="inlineStr">
        <is>
          <t>3000</t>
        </is>
      </c>
      <c r="G115" s="5" t="inlineStr">
        <is>
          <t>AusNet states WRL is 'Capable of carrying more than 3,000MW of energy' - a proponent capability lower bound on an undefined basis, matching the chart's 3 GW in magnitude only. AEMO's project-specific figures are different quantities: 1,460 MW renewable capacity harnessed, 695 MW additional MEL-WNV network capacity and V2 310 MW. supported_value is in MW. The 2023 s16Y Ministerial Order (VNV-VIC-GAZETTE-2023-S267) states only qualitative benefits for WRL ('alleviating network constraints and increasing hosting capacity in Victoria's west') and states no WRL capacity figure of any kind.</t>
        </is>
      </c>
      <c r="H115" s="5" t="inlineStr">
        <is>
          <t>WRL-AUSNET-PROJECT; HUM-AEMO-2026-ISP-A5; VNV-VIC-GAZETTE-2023-S267</t>
        </is>
      </c>
      <c r="I115" s="5" t="inlineStr">
        <is>
          <t>WRL-AUSNET-PROJECT derivative line 49; HUM-AEMO-2026-ISP-A5 pp24-25; VNV-VIC-GAZETTE-2023-S267 p11</t>
        </is>
      </c>
      <c r="J115" s="5" t="inlineStr">
        <is>
          <t>WRL-AO-2026-AUSNET-CAPABILITY</t>
        </is>
      </c>
    </row>
    <row r="116">
      <c r="A116" s="4" t="inlineStr">
        <is>
          <t>Western Renewables Link</t>
        </is>
      </c>
      <c r="B116" s="4" t="inlineStr">
        <is>
          <t>Western Renewables Link</t>
        </is>
      </c>
      <c r="C116" s="4" t="inlineStr">
        <is>
          <t>trunk_km</t>
        </is>
      </c>
      <c r="D116" s="4" t="inlineStr">
        <is>
          <t>190</t>
        </is>
      </c>
      <c r="E116" s="4" t="inlineStr">
        <is>
          <t>supported</t>
        </is>
      </c>
      <c r="F116" s="4" t="inlineStr">
        <is>
          <t>190</t>
        </is>
      </c>
      <c r="G116" s="4" t="inlineStr">
        <is>
          <t>AusNet describes WRL as a proposed new 190 kilometre overhead line from Bulgana to Sydenham, the same trunk the chart measures. Neither AEMO ISP appendix states a route length.</t>
        </is>
      </c>
      <c r="H116" s="4" t="inlineStr">
        <is>
          <t>WRL-AUSNET-PROJECT</t>
        </is>
      </c>
      <c r="I116" s="4" t="inlineStr">
        <is>
          <t>derivative line 41</t>
        </is>
      </c>
      <c r="J116" s="4" t="inlineStr">
        <is>
          <t>WRL-AO-2026-TRUNK-190KM</t>
        </is>
      </c>
    </row>
    <row r="117">
      <c r="A117" s="5" t="inlineStr">
        <is>
          <t>Western Renewables Link</t>
        </is>
      </c>
      <c r="B117" s="5" t="inlineStr">
        <is>
          <t>Western Renewables Link</t>
        </is>
      </c>
      <c r="C117" s="5" t="inlineStr">
        <is>
          <t>millions_per_trunk_km</t>
        </is>
      </c>
      <c r="D117" s="5" t="inlineStr">
        <is>
          <t>8.421052631578947</t>
        </is>
      </c>
      <c r="E117" s="5" t="inlineStr">
        <is>
          <t>derived</t>
        </is>
      </c>
      <c r="F117" s="5" t="inlineStr"/>
      <c r="G117" s="5" t="inlineStr">
        <is>
          <t>Chart calculation: $1.6 billion divided by 190 km. The length input is supported (WRL-AO-2026-TRUNK-190KM) but the cost input is not: no archived source states $1.6 billion for WRL, so this ratio inherits an unsupported numerator. See CHART_DERIVATION warning.</t>
        </is>
      </c>
      <c r="H117" s="5" t="inlineStr">
        <is>
          <t>WRL-AUSNET-PROJECT</t>
        </is>
      </c>
      <c r="I117" s="5" t="inlineStr">
        <is>
          <t>derivative line 41</t>
        </is>
      </c>
      <c r="J117" s="5" t="n"/>
    </row>
    <row r="118">
      <c r="A118" s="4" t="inlineStr">
        <is>
          <t>Western Renewables Link</t>
        </is>
      </c>
      <c r="B118" s="4" t="inlineStr">
        <is>
          <t>Western Renewables Link</t>
        </is>
      </c>
      <c r="C118" s="4" t="inlineStr">
        <is>
          <t>circuits</t>
        </is>
      </c>
      <c r="D118" s="4" t="inlineStr">
        <is>
          <t>2</t>
        </is>
      </c>
      <c r="E118" s="4" t="inlineStr">
        <is>
          <t>supported</t>
        </is>
      </c>
      <c r="F118" s="4" t="inlineStr">
        <is>
          <t>2</t>
        </is>
      </c>
      <c r="G118" s="4" t="inlineStr">
        <is>
          <t>AEMO 2026 describes a planned 500 kV double-circuit overhead line from Bulgana to Sydenham, and the delivery scope specifies switched shunt line reactors at the end of each circuit. The 2023 s16Y Ministerial Order's Schedule 2 (VNV-VIC-GAZETTE-2023-S267), the legal instrument specifying the WRL Uprate, independently corroborates this: a new 500 kV double-circuit SYTS-BGTS line with switched shunt line reactors at the end of each circuit.</t>
        </is>
      </c>
      <c r="H118" s="4" t="inlineStr">
        <is>
          <t>HUM-AEMO-2026-ISP-A5; VNV-VIC-GAZETTE-2023-S267</t>
        </is>
      </c>
      <c r="I118" s="4" t="inlineStr">
        <is>
          <t>HUM-AEMO-2026-ISP-A5 p24; VNV-VIC-GAZETTE-2023-S267 p8</t>
        </is>
      </c>
      <c r="J118" s="4" t="inlineStr">
        <is>
          <t>WRL-AO-2026-CIRCUITS-2</t>
        </is>
      </c>
    </row>
    <row r="119">
      <c r="A119" s="4" t="inlineStr">
        <is>
          <t>Western Renewables Link</t>
        </is>
      </c>
      <c r="B119" s="4" t="inlineStr">
        <is>
          <t>Western Renewables Link</t>
        </is>
      </c>
      <c r="C119" s="4" t="inlineStr">
        <is>
          <t>lines</t>
        </is>
      </c>
      <c r="D119" s="4" t="inlineStr">
        <is>
          <t>1</t>
        </is>
      </c>
      <c r="E119" s="4" t="inlineStr">
        <is>
          <t>supported</t>
        </is>
      </c>
      <c r="F119" s="4" t="inlineStr">
        <is>
          <t>1</t>
        </is>
      </c>
      <c r="G119" s="4" t="inlineStr">
        <is>
          <t>AEMO 2026 delivery scope states a single new transmission line: 'A new 500 kV double-circuit transmission line from Sydenham Terminal Station to Bulgana Terminal Station'. The 2023 s16Y Ministerial Order's Schedule 2 (VNV-VIC-GAZETTE-2023-S267) independently specifies the same single new line, SYTS to BGTS, as the WRL Uprate augmentation.</t>
        </is>
      </c>
      <c r="H119" s="4" t="inlineStr">
        <is>
          <t>HUM-AEMO-2026-ISP-A5; VNV-VIC-GAZETTE-2023-S267</t>
        </is>
      </c>
      <c r="I119" s="4" t="inlineStr">
        <is>
          <t>HUM-AEMO-2026-ISP-A5 p24; VNV-VIC-GAZETTE-2023-S267 p8</t>
        </is>
      </c>
      <c r="J119" s="4" t="inlineStr">
        <is>
          <t>WRL-AO-2026-LINES-1</t>
        </is>
      </c>
    </row>
    <row r="120">
      <c r="A120" s="5" t="inlineStr">
        <is>
          <t>Western Renewables Link</t>
        </is>
      </c>
      <c r="B120" s="5" t="inlineStr">
        <is>
          <t>Western Renewables Link</t>
        </is>
      </c>
      <c r="C120" s="5" t="inlineStr">
        <is>
          <t>alt_routes</t>
        </is>
      </c>
      <c r="D120" s="5" t="inlineStr">
        <is>
          <t>0</t>
        </is>
      </c>
      <c r="E120" s="5" t="inlineStr">
        <is>
          <t>judgment</t>
        </is>
      </c>
      <c r="F120" s="5" t="inlineStr"/>
      <c r="G120" s="5" t="inlineStr">
        <is>
          <t>Author definition. No archived source counts alternative routes for WRL. The 2019 RIT-T option set and the WRL EES route alternatives are unarchived, so a zero cannot be evidenced either way.</t>
        </is>
      </c>
      <c r="H120" s="5" t="inlineStr"/>
      <c r="I120" s="5" t="inlineStr"/>
      <c r="J120" s="5" t="n"/>
    </row>
    <row r="121">
      <c r="A121" s="6" t="inlineStr">
        <is>
          <t>Western Renewables Link</t>
        </is>
      </c>
      <c r="B121" s="6" t="inlineStr">
        <is>
          <t>Western Renewables Link</t>
        </is>
      </c>
      <c r="C121" s="6" t="inlineStr">
        <is>
          <t>syncons_mva</t>
        </is>
      </c>
      <c r="D121" s="6" t="inlineStr">
        <is>
          <t>0</t>
        </is>
      </c>
      <c r="E121" s="6" t="inlineStr">
        <is>
          <t>gap</t>
        </is>
      </c>
      <c r="F121" s="6" t="inlineStr"/>
      <c r="G121" s="6" t="inlineStr">
        <is>
          <t>No archived source states a synchronous condenser rating for WRL, and none states that WRL includes no synchronous condensers. The AEMO 2026 delivery scope enumerates reactive plant as shunt line reactors (approximately 70 MVAr per circuit) and a 100 MVAr 500 kV switched bus reactor at Sydenham only; absence from an enumerated list is not a sourced zero. See AUTHOR_DECISION_REQUIRED.</t>
        </is>
      </c>
      <c r="H121" s="6" t="inlineStr">
        <is>
          <t>HUM-AEMO-2026-ISP-A5</t>
        </is>
      </c>
      <c r="I121" s="6" t="inlineStr">
        <is>
          <t>24</t>
        </is>
      </c>
      <c r="J121" s="6" t="n"/>
    </row>
    <row r="122">
      <c r="A122" s="5" t="inlineStr">
        <is>
          <t>Western Renewables Link</t>
        </is>
      </c>
      <c r="B122" s="5" t="inlineStr">
        <is>
          <t>Western Renewables Link</t>
        </is>
      </c>
      <c r="C122" s="5" t="inlineStr">
        <is>
          <t>hubs</t>
        </is>
      </c>
      <c r="D122" s="5" t="inlineStr">
        <is>
          <t>1</t>
        </is>
      </c>
      <c r="E122" s="5" t="inlineStr">
        <is>
          <t>judgment</t>
        </is>
      </c>
      <c r="F122" s="5" t="inlineStr"/>
      <c r="G122" s="5" t="inlineStr">
        <is>
          <t>Author definition. No archived source counts hubs. The 2026 delivery scope names works at Bulgana Terminal Station (new 500 kV switchyard), Sydenham Terminal Station (extension, bays, bus reactor) and Elaine Terminal Station (cut-ins and realignment), plus minor augmentations at unnamed existing terminals, so a hub count of 1 reflects an author boundary choice. Bulgana is a shared WRL / VNI West terminal; see SHARED_ATTRIBUTION. The 2023 s16Y Ministerial Order's Schedule 2 (VNV-VIC-GAZETTE-2023-S267) names a fourth WRL terminal not enumerated in AEMO's 2024/2026 delivery scope summaries: Ballarat Terminal Station (BATS), where new 220 kV circuit breakers establish double switching on the existing bays. A hub count of 1 therefore also excludes a fourth, order-specified terminal.</t>
        </is>
      </c>
      <c r="H122" s="5" t="inlineStr">
        <is>
          <t>HUM-AEMO-2026-ISP-A5; VNV-VIC-GAZETTE-2023-S267</t>
        </is>
      </c>
      <c r="I122" s="5" t="inlineStr">
        <is>
          <t>HUM-AEMO-2026-ISP-A5 pp24-25; VNV-VIC-GAZETTE-2023-S267 p8</t>
        </is>
      </c>
      <c r="J122" s="5" t="n"/>
    </row>
    <row r="123">
      <c r="A123" s="5" t="inlineStr">
        <is>
          <t>Western Renewables Link</t>
        </is>
      </c>
      <c r="B123" s="5" t="inlineStr">
        <is>
          <t>Western Renewables Link</t>
        </is>
      </c>
      <c r="C123" s="5" t="inlineStr">
        <is>
          <t>transformers</t>
        </is>
      </c>
      <c r="D123" s="5" t="inlineStr">
        <is>
          <t>2000</t>
        </is>
      </c>
      <c r="E123" s="5" t="inlineStr">
        <is>
          <t>derived</t>
        </is>
      </c>
      <c r="F123" s="5" t="inlineStr"/>
      <c r="G123" s="5" t="inlineStr">
        <is>
          <t>Chart calculation: the sum of two 1,000 MVA units. AEMO 2026 states a new 500 kV switchyard at Bulgana Terminal Station with two new 500/220 kV 1,000 MVA transformers (WRL-AO-2026-TRANSFORMERS-1000; 2024 equivalent WRL-AO-2024-TRANSFORMERS-1000). The per-unit rating is preserved rather than summed in observations. These transformers sit at the shared Bulgana terminal; see SHARED_ATTRIBUTION. The 2023 s16Y Ministerial Order's Schedule 2 (VNV-VIC-GAZETTE-2023-S267), the legal instrument specifying the WRL Uprate, independently states the same two 500/220 kV 1,000 MVA transformers at the new Bulgana switchyard (WRL-AO-2023-TRANSFORMERS-1000).</t>
        </is>
      </c>
      <c r="H123" s="5" t="inlineStr">
        <is>
          <t>HUM-AEMO-2026-ISP-A5; HUM-AEMO-2024-ISP-A5; VNV-VIC-GAZETTE-2023-S267</t>
        </is>
      </c>
      <c r="I123" s="5" t="inlineStr">
        <is>
          <t>HUM-AEMO-2026-ISP-A5 p25; HUM-AEMO-2024-ISP-A5 p19; VNV-VIC-GAZETTE-2023-S267 p8</t>
        </is>
      </c>
      <c r="J123" s="5" t="inlineStr">
        <is>
          <t>WRL-AO-2026-TRANSFORMERS-1000</t>
        </is>
      </c>
    </row>
    <row r="124">
      <c r="A124" s="6" t="inlineStr">
        <is>
          <t>Western Renewables Link</t>
        </is>
      </c>
      <c r="B124" s="6" t="inlineStr">
        <is>
          <t>Western Renewables Link</t>
        </is>
      </c>
      <c r="C124" s="6" t="inlineStr">
        <is>
          <t>feeder_lines_km</t>
        </is>
      </c>
      <c r="D124" s="6" t="inlineStr">
        <is>
          <t>0</t>
        </is>
      </c>
      <c r="E124" s="6" t="inlineStr">
        <is>
          <t>gap</t>
        </is>
      </c>
      <c r="F124" s="6" t="inlineStr"/>
      <c r="G124" s="6" t="inlineStr">
        <is>
          <t>No archived source states feeder line lengths for WRL. The 2026 delivery scope describes cut-ins and realignments of existing 220 kV lines at Elaine and Bulgana without stating any length.</t>
        </is>
      </c>
      <c r="H124" s="6" t="inlineStr">
        <is>
          <t>HUM-AEMO-2026-ISP-A5</t>
        </is>
      </c>
      <c r="I124" s="6" t="inlineStr">
        <is>
          <t>25</t>
        </is>
      </c>
      <c r="J124" s="6" t="n"/>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24" customWidth="1" min="1" max="1"/>
    <col width="24" customWidth="1" min="2" max="2"/>
    <col width="24" customWidth="1" min="3" max="3"/>
    <col width="60" customWidth="1" min="4" max="4"/>
    <col width="60" customWidth="1" min="5" max="5"/>
    <col width="50" customWidth="1" min="6" max="6"/>
    <col width="50" customWidth="1" min="7" max="7"/>
    <col width="60" customWidth="1" min="8" max="8"/>
    <col width="46" customWidth="1" min="9" max="9"/>
    <col width="40" customWidth="1" min="10" max="10"/>
    <col width="16" customWidth="1" min="11" max="11"/>
    <col width="20" customWidth="1" min="12" max="12"/>
    <col width="55" customWidth="1" min="13" max="13"/>
    <col width="70" customWidth="1" min="14" max="14"/>
    <col width="70" customWidth="1" min="15" max="15"/>
    <col width="44" customWidth="1" min="16" max="16"/>
  </cols>
  <sheetData>
    <row r="1" ht="38" customHeight="1">
      <c r="A1" s="1" t="inlineStr">
        <is>
          <t>Projects</t>
        </is>
      </c>
    </row>
    <row r="2" ht="26" customHeight="1">
      <c r="A2" s="2" t="inlineStr">
        <is>
          <t>One row per curated family: identity, ownership, delivery status and pack contents.</t>
        </is>
      </c>
    </row>
    <row r="4" ht="30" customHeight="1">
      <c r="A4" s="3" t="inlineStr">
        <is>
          <t>Family slug</t>
        </is>
      </c>
      <c r="B4" s="3" t="inlineStr">
        <is>
          <t>Project ID</t>
        </is>
      </c>
      <c r="C4" s="3" t="inlineStr">
        <is>
          <t>Name</t>
        </is>
      </c>
      <c r="D4" s="3" t="inlineStr">
        <is>
          <t>Identity</t>
        </is>
      </c>
      <c r="E4" s="3" t="inlineStr">
        <is>
          <t>Current status</t>
        </is>
      </c>
      <c r="F4" s="3" t="inlineStr">
        <is>
          <t>Delivery status</t>
        </is>
      </c>
      <c r="G4" s="3" t="inlineStr">
        <is>
          <t>Owner</t>
        </is>
      </c>
      <c r="H4" s="3" t="inlineStr">
        <is>
          <t>Funding pathway</t>
        </is>
      </c>
      <c r="I4" s="3" t="inlineStr">
        <is>
          <t>Capacity</t>
        </is>
      </c>
      <c r="J4" s="3" t="inlineStr">
        <is>
          <t>Schedule</t>
        </is>
      </c>
      <c r="K4" s="3" t="inlineStr">
        <is>
          <t>Trunk voltage (kV)</t>
        </is>
      </c>
      <c r="L4" s="3" t="inlineStr">
        <is>
          <t>Completion date</t>
        </is>
      </c>
      <c r="M4" s="3" t="inlineStr">
        <is>
          <t>Dependent projects</t>
        </is>
      </c>
      <c r="N4" s="3" t="inlineStr">
        <is>
          <t>Analysis conclusion</t>
        </is>
      </c>
      <c r="O4" s="3" t="inlineStr">
        <is>
          <t>Chart overall status</t>
        </is>
      </c>
      <c r="P4" s="3" t="inlineStr">
        <is>
          <t>Pack contents</t>
        </is>
      </c>
    </row>
    <row r="5">
      <c r="A5" s="4" t="inlineStr">
        <is>
          <t>central-west-orana</t>
        </is>
      </c>
      <c r="B5" s="4" t="inlineStr">
        <is>
          <t>CWO-PROJECT-MAIN</t>
        </is>
      </c>
      <c r="C5" s="4" t="inlineStr">
        <is>
          <t>Central-West Orana Renewable Energy Zone</t>
        </is>
      </c>
      <c r="D5" s="4" t="inlineStr">
        <is>
          <t>One project family with three separately authorised or planned projects: the Main CWO REZ network project (ACEREZ), the Enabling CWO REZ network project (Transgrid) and the actionable CWO REZ Expansion. Barigan Creek Switching Station moves between the first two; Bannaby is a statutory inclusion with no observed cost attribution.</t>
        </is>
      </c>
      <c r="E5" s="4" t="inlineStr">
        <is>
          <t>Main committed and under construction since June 2025 after financial close on 4 April 2025, with a remade AER revenue determination; Enabling finalised by the AER in January 2026; Expansion actionable under the NSW EII Act with no authorisation or determination observed.</t>
        </is>
      </c>
      <c r="F5" s="4" t="inlineStr">
        <is>
          <t>Main: committed, under construction, post financial close, subject to 29 adjustment mechanisms and five-yearly remakes. Enabling: determined for 2026-31, excluding Barigan Creek incremental expenditure. Expansion: actionable, no proponent authorisation or determination observed.</t>
        </is>
      </c>
      <c r="G5" s="4" t="inlineStr">
        <is>
          <t>ACEREZ Partnership (Acciona, Cobra and Endeavour Energy) for the Main project for 35 years from financial close; Transgrid for the Enabling project and, after transfer, for the Barigan Creek Switching Station; EnergyCo NSW as infrastructure planner.</t>
        </is>
      </c>
      <c r="H5" s="4" t="inlineStr">
        <is>
          <t>NSW Electricity Infrastructure Investment Act 2020: EnergyCo recommendation, Consumer Trustee authorisation and AER revenue determination for consumer-funded amounts; access right holders fund hub-to-project and centralised system strength through per-connection access fees; a CEFC loan supports land and biodiversity costs that are ultimately recovered from consumers.</t>
        </is>
      </c>
      <c r="I5" s="4" t="inlineStr">
        <is>
          <t>Declared intended 6,000 MW (amended from 3,000 MW in December 2023), initial delivery and determined transfer capacity 4,500 MW, hosting up to 7.7 GW, aggregate access cap 7.7 GW, awarded access rights reported as both 7.15 GW and 7.7 GW, Expansion +1,500 MW.</t>
        </is>
      </c>
      <c r="J5" s="4" t="inlineStr">
        <is>
          <t>Committed project December 2028 per AEMO; staged infrastructure completion April 2028 to April 2030 per the AER; Expansion timing advised by proponent March 2033.</t>
        </is>
      </c>
      <c r="K5" s="4" t="n">
        <v>500</v>
      </c>
      <c r="L5" s="4" t="inlineStr">
        <is>
          <t>2028-12 (committed project per AEMO); staged April 2028 to April 2030 per the AER; Expansion March 2033</t>
        </is>
      </c>
      <c r="M5" s="4" t="inlineStr">
        <is>
          <t>Hunter Transmission Project (CNSW-SNW Option 1) is a prerequisite once the REZ exceeds 3 GW; the Expansion is a prerequisite-dependent follow-on to the committed Main project; the Enabling project enables the Main project's connection to the shared network.</t>
        </is>
      </c>
      <c r="N5" s="4" t="inlineStr">
        <is>
          <t>The family cannot be represented by one cost series or one row. The published Main, Enabling and Expansion amounts have different price bases, payer boundaries, maturities and dates, and the chart's $6.787 billion is an arithmetic aggregate that no source publishes and that still omits generator-funded H2P and system strength, construction finance and the $186.8m Barigan Creek acquisition.</t>
        </is>
      </c>
      <c r="O5" s="4" t="inlineStr">
        <is>
          <t>Publishable only with corrections: the cost and millions-per-trunk-km cells are non-additive author aggregates, the date cell is contradicted by every archived timing, and the hubs, circuits, transformers and alt-routes cells are author derivations or judgments rather than sourced values.</t>
        </is>
      </c>
      <c r="P5" s="4" t="inlineStr">
        <is>
          <t>64 observations · 9 components · 23 events · 18 warnings · 26 sources</t>
        </is>
      </c>
    </row>
    <row r="6">
      <c r="A6" s="4" t="inlineStr">
        <is>
          <t>humelink</t>
        </is>
      </c>
      <c r="B6" s="4" t="inlineStr">
        <is>
          <t>HUM-PROJECT-HUMELINK</t>
        </is>
      </c>
      <c r="C6" s="4" t="inlineStr">
        <is>
          <t>HumeLink</t>
        </is>
      </c>
      <c r="D6" s="4" t="inlineStr">
        <is>
          <t>One project family. HumeLink descends from the 2018 SnowyLink North concept (a Wagga-Bannaby-Snowy 2.0-Wagga single-circuit 500 kV loop inside a broader SnowyLink program), but no archived source states that all of SnowyLink became HumeLink. The Switching Station Near Wondalga is a formally separate actionable ISP project that names HumeLink as its prerequisite and is held here as a related component, not as HumeLink scope.</t>
        </is>
      </c>
      <c r="E6" s="4" t="inlineStr">
        <is>
          <t>Committed. The AER made a Stage 2 contingent project determination on 2 August 2024 and NSW granted critical State significant infrastructure approval on 13 November 2024; AEMO's 2026 ISP lists the project as committed and under delivery. No outturn or commissioning record exists.</t>
        </is>
      </c>
      <c r="F6" s="4" t="inlineStr">
        <is>
          <t>Committed and under delivery; construction expected to take about 2.5 years per the NSW approval. No final as-built scope, commissioning result or audited outturn is published.</t>
        </is>
      </c>
      <c r="G6" s="4" t="inlineStr">
        <is>
          <t>Transgrid</t>
        </is>
      </c>
      <c r="H6" s="4" t="inlineStr">
        <is>
          <t>Actionable ISP project: RIT-T (PSCR 2019, amended PADR 2020, PACR and addendum 2021), AEMO feedback loops (2022, 2023 x2, 2024), and staged NER contingent project applications determined by the AER (Stage 1 Part 1 August 2022, Stage 1 Part 2 August 2023, Stage 2 August 2024). Physical approval is separate, under the NSW critical State significant infrastructure regime.</t>
        </is>
      </c>
      <c r="I6" s="4" t="inlineStr">
        <is>
          <t>AEMO 2026: transfer capability between SNSW and CNSW increases by 2,200 MW in both directions once in service (2,200 MW in both directions in the 2024 ISP), plus REZ figures of 400 MW in N5 and 2,200 MW in N6+N7. RIT-T-era observations state 2,570 MW of additional firm capacity or generation accommodated (PADR and PACR) and 2,230-2,570 MW of Tumut to Sydney transfer uplift (2020 ISP). These are different measures, not one series.</t>
        </is>
      </c>
      <c r="J6" s="4" t="inlineStr">
        <is>
          <t>Expected completion December 2027 (2026 ISP). Earlier dated targets: 2025-26 (2020 ISP), July 2026 (2022 ISP), Northern Circuit July 2026 and Southern Circuit December 2026 (feedback loop 3 and 2024 ISP).</t>
        </is>
      </c>
      <c r="K6" s="4" t="n">
        <v>500</v>
      </c>
      <c r="L6" s="4" t="inlineStr">
        <is>
          <t>2027-12 (expected)</t>
        </is>
      </c>
      <c r="M6" s="4" t="inlineStr">
        <is>
          <t>Switching Station Near Wondalga (separate actionable ISP project; HumeLink is its stated prerequisite). Snowy 2.0 and Project EnergyConnect are the generation and interconnection connections HumeLink serves. Sydney Ring works are related system projects, not deleted HumeLink components; the PADR's power-flow-control options between Bannaby and Sydney were not required in Option 3C's then-current design.</t>
        </is>
      </c>
      <c r="N6" s="4" t="inlineStr">
        <is>
          <t>HumeLink cannot be represented by one cost series or one topology row. Published amounts move across estimate maturity (AACE Class 4 to Class 2-3), price bases ($2017-18, $2020-21, $2022-23, June 2021 and June 2023 dollars), scope boundaries (option, stage, whole project, delivery package, planning development) and publisher roles (proponent estimate, planner expected cost, feedback-loop confirmation, regulatory allowance, planning capital investment value). The only defensible same-basis movement published in the archive is Transgrid's 28 per cent increase from $3,820m to $4,881m in June 2023 dollars; the AER's $4,573.5m all-stage allowance is a regulatory substitution, not forecast error; and the December 2027 date is still a forecast, so no retrospective accuracy measure is yet possible.</t>
        </is>
      </c>
      <c r="O6" s="4" t="inlineStr">
        <is>
          <t>The date, capacity, length, circuit, line and transformer cells all resolve to archived wording but four of them only under a stated boundary difference, the cost cell matches a two-vintage-old ISP estimate rather than the controlling AER allowance, the ratio and transformer cells are the chart's own arithmetic, and alt routes, syncons, hubs and feeder lines are an author judgment or unevidenced zeros.</t>
        </is>
      </c>
      <c r="P6" s="4" t="inlineStr">
        <is>
          <t>91 observations · 15 components · 28 events · 15 warnings · 27 sources</t>
        </is>
      </c>
    </row>
    <row r="7">
      <c r="A7" s="4" t="inlineStr">
        <is>
          <t>hunter-transmission-project</t>
        </is>
      </c>
      <c r="B7" s="4" t="inlineStr">
        <is>
          <t>HTP-PROJECT-HTP</t>
        </is>
      </c>
      <c r="C7" s="4" t="inlineStr">
        <is>
          <t>Hunter Transmission Project</t>
        </is>
      </c>
      <c r="D7" s="4" t="inlineStr">
        <is>
          <t>One provisional Project, also named Sydney Ring North (AEMO CNSW-SNW Option 1). AEMO's 2026 representation bundles the Waratah Super Battery and related upgrades; WSB is treated as provisionally distinct because its own lifecycle records were not captured.</t>
        </is>
      </c>
      <c r="E7" s="4" t="inlineStr">
        <is>
          <t>Actionable New South Wales project under the Electricity Infrastructure Investment Act 2020 (NSW); AEMO reports the project is in the NSW Government's independent assessment phase, with construction expected to start in late 2026 if approved. No EnergyCo approval, business case or statutory authorisation record was captured.</t>
        </is>
      </c>
      <c r="F7" s="4" t="inlineStr">
        <is>
          <t>Pre-construction; NSW Government independent assessment phase per AEMO 2026.</t>
        </is>
      </c>
      <c r="G7" s="4" t="inlineStr">
        <is>
          <t>EnergyCo NSW is the Infrastructure Planner for the project as a priority transmission infrastructure project; no EnergyCo delivery record was captured.</t>
        </is>
      </c>
      <c r="H7" s="4" t="inlineStr">
        <is>
          <t>Priority transmission infrastructure project under the Electricity Infrastructure Investment Act 2020 (NSW); progresses as an actionable New South Wales project rather than under the RIT-T/ISP framework.</t>
        </is>
      </c>
      <c r="I7" s="4" t="inlineStr">
        <is>
          <t>AEMO 2026 reports forward additional network capacity of 5,000 MW (REZ N10: 2,000 MW); AEMO 2024 reported the same up-to-5,000 MW observation. This is transfer-capacity/hosting wording, not a rating of the single line.</t>
        </is>
      </c>
      <c r="J7" s="4" t="inlineStr">
        <is>
          <t>Timing advised by proponent: November 2029 (2026 ISP); December 2028 (2024 ISP).</t>
        </is>
      </c>
      <c r="K7" s="4" t="n">
        <v>500</v>
      </c>
      <c r="L7" s="4" t="inlineStr">
        <is>
          <t>2029-11</t>
        </is>
      </c>
      <c r="M7" s="4" t="inlineStr">
        <is>
          <t>AEMO makes CNSW-SNW Option 1 (HTP) a pre-requisite for the Central-West Orana REZ network project above 3 GW and for the Sydney Ring South power flow control augmentation (CNSW-SNW Option 2d).</t>
        </is>
      </c>
      <c r="N7" s="4" t="inlineStr">
        <is>
          <t>The $1,364m (2026 ISP), $1,099m (2024 ISP) and about $1 billion (NSW Network Infrastructure Strategy, May 2023 Stage 1) amounts are separate dated observations on different bases, price years and scopes. The $265m difference between the two ISP amounts is not an overrun and no arithmetic comparison is promoted.</t>
        </is>
      </c>
      <c r="O7" s="4" t="inlineStr">
        <is>
          <t>Cost, capacity, circuits, lines, transformers, date and trunk km (now with EnergyCo web captures) resolve to archived wording, and the millions-per-trunk-km ratio is now a reproducible chart derivation from archived inputs; syncons, hubs, feeder lines and route diversity do not, because the EIS and other EnergyCo records the author relied on were not captured.</t>
        </is>
      </c>
      <c r="P7" s="4" t="inlineStr">
        <is>
          <t>39 observations · 7 components · 7 events · 14 warnings · 8 sources</t>
        </is>
      </c>
    </row>
    <row r="8">
      <c r="A8" s="4" t="inlineStr">
        <is>
          <t>marinus-link</t>
        </is>
      </c>
      <c r="B8" s="4" t="inlineStr">
        <is>
          <t>ML-PROJECT-MARINUS</t>
        </is>
      </c>
      <c r="C8" s="4" t="inlineStr">
        <is>
          <t>Project Marinus</t>
        </is>
      </c>
      <c r="D8" s="4" t="inlineStr">
        <is>
          <t>One provisional Project Marinus; Stage 1 and Stage 2 are separate components/versions pending lifecycle review.</t>
        </is>
      </c>
      <c r="E8" s="4" t="inlineStr">
        <is>
          <t>Stage 1 anticipated following the reported 1 August 2025 government FID; Stage 2 actionable and reassessed.</t>
        </is>
      </c>
      <c r="F8" s="4" t="inlineStr">
        <is>
          <t>Stage 1 anticipated project (AEMO 2026 ISP); Stage 2 reassessed as an actionable ISP project (TAS-SEV Option 2A). No construction outturn captured.</t>
        </is>
      </c>
      <c r="G8" s="4" t="inlineStr">
        <is>
          <t>Marinus Link Pty Ltd delivers the HVDC interconnector; TasNetworks delivers the North West Transmission Developments (NWTD) HVAC works. AEMO reports both collectively as Project Marinus.</t>
        </is>
      </c>
      <c r="H8" s="4" t="inlineStr">
        <is>
          <t>Actionable ISP project under the RIT-T, feedback-loop and contingent-project framework. AEMO reports a Tasmanian, Victorian and Australian government Final Investment Decision for Stage 1 on 1 August 2025; the operative decision or funding instrument is not archived.</t>
        </is>
      </c>
      <c r="I8" s="4" t="inlineStr">
        <is>
          <t>Two staged 750 MW monopole HVDC links (1,500 MW total), operating alongside Basslink.</t>
        </is>
      </c>
      <c r="J8" s="4" t="inlineStr">
        <is>
          <t>Stage 1: December 2030. Stage 2 proponent timing: December 2034.</t>
        </is>
      </c>
      <c r="K8" s="4" t="n"/>
      <c r="L8" s="4" t="n"/>
      <c r="M8" s="4" t="inlineStr">
        <is>
          <t>Tasmania REZ Expansion (T2 Option 1) builds the Burnie-Hampshire Hills 220 kV lines removed from Stage 2 Option 2A; North West Transmission Developments (TasNetworks); existing Basslink interconnector operates in parallel.</t>
        </is>
      </c>
      <c r="N8" s="4" t="inlineStr">
        <is>
          <t>Published amounts are discrete observations with different scope, price, maturity and sunk-cost treatment. They do not establish a simple cost-overrun series or one reconciled current total.</t>
        </is>
      </c>
      <c r="O8" s="4" t="inlineStr">
        <is>
          <t>The row should not be published as-is: the cost and capacity cells are contradicted by archived sources, the length and ratio cells are derivations under a definition Marinus does not meet, and five topology cells are gaps or author judgments.</t>
        </is>
      </c>
      <c r="P8" s="4" t="inlineStr">
        <is>
          <t>32 observations · 7 components · 9 events · 12 warnings · 10 sources</t>
        </is>
      </c>
    </row>
    <row r="9">
      <c r="A9" s="4" t="inlineStr">
        <is>
          <t>new-england-rez</t>
        </is>
      </c>
      <c r="B9" s="4" t="inlineStr">
        <is>
          <t>NER-PROJECT-NIP</t>
        </is>
      </c>
      <c r="C9" s="4" t="inlineStr">
        <is>
          <t>New England REZ Network Infrastructure Project</t>
        </is>
      </c>
      <c r="D9" s="4" t="inlineStr">
        <is>
          <t>The declared New England Renewable Energy Zone is a statutory area declared on 17 December 2021 under the Electricity Infrastructure Investment Act 2020 (NSW); it is not itself a cost-bearing project. The Project is the New England REZ Network Infrastructure Project (NIP), the network works EnergyCo coordinates inside that area. Physical works (hubs, lines, transformers) are Components of the NIP, not separate Projects. QNI Connect and the Hunter Transmission Project are separate Projects in dependency relationships, not NIP scope.</t>
        </is>
      </c>
      <c r="E9" s="4" t="inlineStr">
        <is>
          <t>Classified by AEMO in the 2026 ISP as an anticipated project progressing under the Electricity Infrastructure Investment Act 2020 (NSW), previously modelled in two parts and now to be completed in one part (CNSW-NNSW Option 1). EnergyCo is competitively procuring a network operator and a development finance entity; final scope and cost are stated to be subject to that procurement outcome. Declared Critical State Significant Infrastructure in June 2024 (as reported by AEMO; the planning record itself was not captured).</t>
        </is>
      </c>
      <c r="F9" s="4" t="inlineStr">
        <is>
          <t>Anticipated (AEMO 2026 ISP). Not committed; no construction contract or outturn cost captured.</t>
        </is>
      </c>
      <c r="G9" s="4" t="inlineStr">
        <is>
          <t>EnergyCo NSW is the infrastructure planner responsible for coordinating development of the REZ; a network operator to design, build, finance, operate and maintain the infrastructure is still being competitively procured.</t>
        </is>
      </c>
      <c r="H9" s="4" t="inlineStr">
        <is>
          <t>Electricity Infrastructure Investment Act 2020 (NSW); actionable/anticipated New South Wales project outside the ISP RIT-T framework. A development finance entity procurement has commenced. No AER revenue determination or authorisation was captured.</t>
        </is>
      </c>
      <c r="I9" s="4" t="inlineStr">
        <is>
          <t>The declaration intent recorded by AEMO is 8,000 MW of additional transmission network capacity for the REZ area. The 2026 ISP delivery-scope table reports 6,000 MW forward and 6,000 MW reverse additional network capacity for the NIP. EnergyCo's 2023 strategy separately labels 6 GW (Deliver Now), 0.8 GW (Secure Now) and 1.5 GW (Plan for the Future) options and states the Deliver Now options would limit capacity to 6 GW, down from the intended 8 GW. These figures have different boundaries and are never added.</t>
        </is>
      </c>
      <c r="J9" s="4" t="inlineStr">
        <is>
          <t>Expected delivery date of January 2034 (AEMO 2026 ISP Appendix A5). The 2024 ISP recorded proponent timing of June 2031 for Flow Path Option 1 / REZ N2 Option 1 and June 2033 for Flow Path Option 2.</t>
        </is>
      </c>
      <c r="K9" s="4" t="inlineStr">
        <is>
          <t>500 kV and 330 kV: 500 kV double-circuit steel tower lines between Central A, Central B, Central South and Bayswater South, plus 330 kV double-circuit lines to East, and a 500 kV built / 330 kV operated line to North.</t>
        </is>
      </c>
      <c r="L9" s="4" t="inlineStr">
        <is>
          <t>January 2034</t>
        </is>
      </c>
      <c r="M9" s="4" t="inlineStr">
        <is>
          <t>Hunter Transmission Project (CNSW-SNW Option 1) as the downstream flow path; QNI Connect (NNSW-SQ Option 2, a future ISP project) states the New England REZ Network Infrastructure Project as a pre-requisite. No scope or cost is transferred between them.</t>
        </is>
      </c>
      <c r="N9" s="4" t="inlineStr">
        <is>
          <t>No archived source states a current headline cost for the NIP: the 2026 ISP delivery-scope table leaves the reported cost field blank. The chart's $5.914bn is a sum of three option costs the author took from the Draft 2026 ISP Appendix 5, which is not in the archive; the archived final 2026 ISP Appendix A5 contains only CNSW-NNSW Option 1 with no cost, and its pages 34-35 are the Gladstone Project. The archived 2024 ISP Appendix A5 does state three option costs ($1,834m, $370m, $1,493m) but they sum to $3,697m on a superseded two-part scope, so they neither reproduce nor substitute for the chart figure. Cost, syncons and feeder lines remain gaps against the archive; trunk length is now supported with a boundary caveat by the archived EnergyCo Bulk Corridor Design Refinement Report (Nov 2025), which states 305 km for the recommended-but-not-yet-finalised new study corridor and 346 km for the alternative Refined PSC.</t>
        </is>
      </c>
      <c r="O9" s="4" t="inlineStr">
        <is>
          <t>Date, capacity, trunk length, lines and hubs resolve to archived sources (the 2026 ISP, EnergyCo's 2025 consultation paper, the Bulk Corridor Design Refinement Report and the 2021 declaration gazette) with boundary caveats, circuits and the transformer total are clean derivations of archived line items, but the cost, syncons and feeder cells still have no archived support, so the row should not be published as-is.</t>
        </is>
      </c>
      <c r="P9" s="4" t="inlineStr">
        <is>
          <t>41 observations · 13 components · 7 events · 18 warnings · 8 sources</t>
        </is>
      </c>
    </row>
    <row r="10">
      <c r="A10" s="4" t="inlineStr">
        <is>
          <t>project-energyconnect</t>
        </is>
      </c>
      <c r="B10" s="4" t="inlineStr">
        <is>
          <t>PEC-PROJECT-PEC</t>
        </is>
      </c>
      <c r="C10" s="4" t="inlineStr">
        <is>
          <t>Project EnergyConnect</t>
        </is>
      </c>
      <c r="D10" s="4" t="inlineStr">
        <is>
          <t>One Project EnergyConnect delivered jointly by ElectraNet (South Australia) and TransGrid (New South Wales), with a 220 kV spur to Victoria at Red Cliffs. Stage 1 and Stage 2 are components of one project; the SA and NSW owner boundaries are separate regulatory proceedings, not separate projects.</t>
        </is>
      </c>
      <c r="E10" s="4" t="inlineStr">
        <is>
          <t>Committed and under construction. AEMO's 2026 ISP records Stage 1 (Robertstown via Bundey to Buronga) completed in late 2024 and Stage 2 committed for November 2027; Transgrid's own page states construction and initial energisation are complete with NEM integration due by the end of 2026. Transgrid's June 2026 completion release states construction of the 700 km NSW section is complete and Stage 2 (the 540 km Buronga-Wagga Wagga line) is being energised ahead of AEMO's inter-network testing; it also states Stage 1 (160 km, SA border to Buronga and into Victoria) 'became operational last year', which is not consistent with AEMO's 'late 2024' Stage 1 completion date. Transgrid's February 2026 application to reopen its 2023-2028 revenue determination cites Contract Failure (recognised by Transgrid's Board on 25 October 2023) and a resulting forecast cost increase to $3,628 million (real 2022-23) to complete the NSW component; this reopener had not been decided by the AER as at the 2026-09-03 research cutoff.</t>
        </is>
      </c>
      <c r="F10" s="4" t="inlineStr">
        <is>
          <t>Stage 1 complete (late 2024); Stage 2 under construction and committed</t>
        </is>
      </c>
      <c r="G10" s="4" t="inlineStr">
        <is>
          <t>ElectraNet (South Australia) and TransGrid (New South Wales), jointly constructing and operating</t>
        </is>
      </c>
      <c r="H10" s="4" t="inlineStr">
        <is>
          <t>AER contingent project determinations under the 2018-23 regulatory control periods, one per owner (both final 28 May 2021)</t>
        </is>
      </c>
      <c r="I10" s="4" t="inlineStr">
        <is>
          <t>Stage 1 delivered 150 MW in both directions between NSW and SA. AEMO expects the NSW-SA interconnector to increase to 800 MW in both directions after Stage 2, with a further 100 MW VIC-SA. No archived source states 2.2 GW.</t>
        </is>
      </c>
      <c r="J10" s="4" t="inlineStr">
        <is>
          <t>2020 ISP: staged commissioning late 2022 to late 2023. 2022 ISP: July 2026. 2024 ISP: Stage 1 December 2024, Stage 2 July 2027. 2026 ISP: Stage 1 completed late 2024, Stage 2 November 2027.</t>
        </is>
      </c>
      <c r="K10" s="4" t="inlineStr">
        <is>
          <t>330 kV interconnector; the Robertstown-Bundey section is 275 kV and the Dinawan-Wagga Wagga section is built at 500 kV but operated at 330 kV</t>
        </is>
      </c>
      <c r="L10" s="4" t="inlineStr">
        <is>
          <t>Stage 1: late 2024 (AEMO 2026), though Transgrid's June 2026 completion release instead says Stage 1 'became operational last year' (i.e. 2025) - a contradiction, not resolved. Stage 2: November 2027 (AEMO 2026), against Transgrid's stated NEM integration by end of 2026; Transgrid's June 2026 release reports the 700 km NSW section construction complete and Stage 2 being energised ahead of inter-network testing</t>
        </is>
      </c>
      <c r="M10" s="4" t="inlineStr">
        <is>
          <t>Interfaces with HumeLink and VNI West at Wagga Wagga and Dinawan; these are dependencies, not PEC components. The Victorian connection is a 220 kV spur at Red Cliffs.</t>
        </is>
      </c>
      <c r="N10" s="4" t="inlineStr">
        <is>
          <t>There is no archived reconciled whole-project cost for Project EnergyConnect. The AER approved two separate owner allowances, $457.4m ($2017-18) for ElectraNet and $1,817.9m ($2017-18) for TransGrid, and described the project as a proposed $2.3 billion ($2017-18) contingent project. TransGrid's February 2026 reopener application, citing Contract Failure, now states a forecast cost of $3,628 million (real 2022-23) to complete TransGrid's own NSW component - a proponent forecast, not an AER-approved amount, and not stated to include ElectraNet's SA works. The chart's $4.1 billion still matches only Transgrid's separate social-value claim, a benefit measure, and the chart's 160 km now has an exact but different match: Transgrid's June 2026 completion release states Stage 1 (SA border to Buronga and into Victoria) is 160 km, distinct from the 165 km Dinawan-Wagga Wagga section and from the 900 km whole-route figure both Transgrid's page and the joint ElectraNet/Transgrid project page state. Cost, capacity, trunk km, syncons, transformers and feeder km all fail on the chart's boundaries.</t>
        </is>
      </c>
      <c r="O10" s="4" t="inlineStr">
        <is>
          <t>Not publishable as-is: the cost cell rests on a social-value figure rather than capital expenditure, and the closest capital-cost figure archived - TransGrid's own $3,628m (real 2022-23) February 2026 reopener forecast - is a proponent application on a different boundary and basis, not an approved amount. The trunk length now matches a sourced 160 km Stage 1 section exactly, but that is one section of a nine-hundred-kilometre project, and the capacity, syncon, transformer and feeder cells are contradicted by the archived scope.</t>
        </is>
      </c>
      <c r="P10" s="4" t="inlineStr">
        <is>
          <t>61 observations · 11 components · 15 events · 12 warnings · 13 sources</t>
        </is>
      </c>
    </row>
    <row r="11">
      <c r="A11" s="4" t="inlineStr">
        <is>
          <t>sydney-ring-south</t>
        </is>
      </c>
      <c r="B11" s="4" t="inlineStr">
        <is>
          <t>SRS-PROJECT-SRS</t>
        </is>
      </c>
      <c r="C11" s="4" t="inlineStr">
        <is>
          <t>Sydney Ring South (Reinforcing Sydney, Newcastle and Wollongong Supply)</t>
        </is>
      </c>
      <c r="D11" s="4" t="inlineStr">
        <is>
          <t>One actionable ISP project containing two AEMO-identified options: power flow control (CNSW-SNW Option 2d) and Bannaby – South Creek 500 kV transmission (CNSW-SNW Option 3). Transgrid PADR Option 6 is a combined staged version of the same project, not a second project.</t>
        </is>
      </c>
      <c r="E11" s="4" t="inlineStr">
        <is>
          <t>Actionable ISP project in the 2024 and 2026 ISPs; Transgrid's PADR is under consultation. No approval, feedback-loop confirmation or final decision is archived.</t>
        </is>
      </c>
      <c r="F11" s="4" t="inlineStr">
        <is>
          <t>Draft RIT-T stage (PADR under consultation); early works described as engagement, approvals, land, procurement and project development.</t>
        </is>
      </c>
      <c r="G11" s="4" t="inlineStr">
        <is>
          <t>Transgrid (RIT-T proponent)</t>
        </is>
      </c>
      <c r="H11" s="4" t="inlineStr">
        <is>
          <t>National Electricity Rules ISP framework and RIT-T; contingent project application to the AER would follow an AEMO feedback-loop confirmation. Not archived: no CPA or determination.</t>
        </is>
      </c>
      <c r="I11" s="4" t="inlineStr">
        <is>
          <t>3,600 MW additional forward capacity from the 500 kV option; 0 MW from the power flow control option. Existing CNSW-SNW South flow path is modelled at 2,540 MW (peak/summer typical) and 2,720 MW (winter).</t>
        </is>
      </c>
      <c r="J11" s="4" t="inlineStr">
        <is>
          <t>Proponent timing July 2030 (power flow control) and July 2033 (500 kV line); 2026 ISP ODP delivers both stages in 2033-34; the PADR places the South Creek 500/330 kV substation in 2030-31.</t>
        </is>
      </c>
      <c r="K11" s="4" t="inlineStr">
        <is>
          <t>330 kV line built to a 500 kV design; South Creek upgraded to a 330/500 kV substation</t>
        </is>
      </c>
      <c r="L11" s="4" t="inlineStr">
        <is>
          <t>2033-34 financial year (2026 ISP ODP)</t>
        </is>
      </c>
      <c r="M11" s="4" t="inlineStr">
        <is>
          <t>Hunter Transmission Project (CNSW-SNW Option 1 / Sydney Ring North) is a stated prerequisite for the power flow control option and is a separate project under the NSW Electricity Infrastructure Investment Act 2020.</t>
        </is>
      </c>
      <c r="N11" s="4" t="inlineStr">
        <is>
          <t>The archived record supports the topology, capacity and transformer figures. Transgrid's own PADR is now archived and directly states Option 6's total capital cost as $3,519 million (nominal), staged $1,135 million then $2,384 million; this confirms AEMO's secondhand quotation and shows the chart's $3.510 billion is a transcription of $3,519 million, not a separate basis. The chart's 114 km matches Transgrid's archived 2023 preparatory estimate for the Bannaby-South Creek line, but the archived 2026 PADR instead describes the (now differently scoped) line as extending to around 100 km.</t>
        </is>
      </c>
      <c r="O11" s="4" t="inlineStr">
        <is>
          <t>Topology, capacity, circuits, lines and transformer cells are supported by the archived 2026 ISP and, for capacity, circuits and lines, corroborated directly by Transgrid's now-archived PADR; the cost cell is contradicted because the chart's $3.510bn does not match either archived total ($2,621m AEMO-modelled or $3,519m PADR Option 6, of which $3.510bn is a transcription); trunk_km is supported with a boundary caveat (2023 preparatory 114 km vs the PADR's newer ~100 km), and the millions-per-trunk-km ratio still rests on the chart's unverified 3,510 figure, so the row should not be published as-is.</t>
        </is>
      </c>
      <c r="P11" s="4" t="inlineStr">
        <is>
          <t>49 observations · 9 components · 9 events · 14 warnings · 5 sources</t>
        </is>
      </c>
    </row>
    <row r="12">
      <c r="A12" s="4" t="inlineStr">
        <is>
          <t>vni-west-nsw</t>
        </is>
      </c>
      <c r="B12" s="4" t="inlineStr">
        <is>
          <t>VNN-PROJECT-VNI-NSW</t>
        </is>
      </c>
      <c r="C12" s="4" t="inlineStr">
        <is>
          <t>VNI West (South West NSW REZ component)</t>
        </is>
      </c>
      <c r="D12" s="4" t="inlineStr">
        <is>
          <t>AEMO treats VNI West as one integrated 500 kV interconnector from near Bulgana (Vic) to Dinawan (NSW); the South West NSW REZ component is separately categorised as an actionable NSW project. This pack curates the NSW component; no NSW-only cost, route or capacity is excised from the whole-project figures.</t>
        </is>
      </c>
      <c r="E12" s="4" t="inlineStr">
        <is>
          <t>Actionable NSW project progressing under the Electricity Infrastructure Investment Act 2020 (NSW); RIT-T concluded May 2023 (option 5A) and feedback loop confirmed December 2023; early works under way.</t>
        </is>
      </c>
      <c r="F12" s="4" t="inlineStr">
        <is>
          <t>Early works, community engagement and technical studies; Iberdrola awarded the design-and-develop contract in November 2025 (Victorian side, with TCV). No NSW construction outturn captured.</t>
        </is>
      </c>
      <c r="G12" s="4" t="inlineStr">
        <is>
          <t>Transgrid (NSW) with VicGrid/TCV in Victoria; Transgrid and AVP (now VicGrid) were the RIT-T proponents. Transgrid's own scope/approval records were unavailable.</t>
        </is>
      </c>
      <c r="H12" s="4" t="inlineStr">
        <is>
          <t>NSW Electricity Infrastructure Investment Act 2020 pathway for the South West NSW REZ component; NSW Government announced $225m in the 2026 NSW Budget (funding announcement, not project cost, allowance or outturn).</t>
        </is>
      </c>
      <c r="I12" s="4" t="inlineStr">
        <is>
          <t>AEMO 2026 reports REZ N5: 600 MW, plus a separately modelled +1,800 MW REZ transfer from Dinawan conditional on a third Dinawan transformer (N5 Option 2). The interconnector Stage 2 adds forward 1,890 MW / reverse 1,670 MW.</t>
        </is>
      </c>
      <c r="J12" s="4" t="inlineStr">
        <is>
          <t>Proponent timing for the South West NSW REZ component is August 2029 (earlier AEMO assumption June 2030); VIC-NSW Stage 2 proponent timing is November 2031.</t>
        </is>
      </c>
      <c r="K12" s="4" t="inlineStr">
        <is>
          <t>500 kV (interconnector); NSW component upgrades the Dinawan - Wagga Wagga - Gugaa double-circuit line from 330 kV to 500 kV operation.</t>
        </is>
      </c>
      <c r="L12" s="4" t="inlineStr">
        <is>
          <t>South West NSW REZ component: August 2029 (proponent advice, 2026 ISP). Whole VIC-NSW link: November 2031.</t>
        </is>
      </c>
      <c r="M12" s="4" t="inlineStr">
        <is>
          <t>HumeLink and Project EnergyConnect are stated prerequisites for the South West NSW REZ Stage 1 scope; Western Renewables Link is a prerequisite for Stage 2 and its cost was bundled into the 2024 $3,499m figure.</t>
        </is>
      </c>
      <c r="N12" s="4" t="inlineStr">
        <is>
          <t>Every archived monetary figure is a whole-VNI West boundary ($7,600m 2026; $3,499m 2024 inclusive of WRL; $3,614m modelled). No archived source allocates a NSW share, so the chart's 3.7 is an author split of a whole-interconnector amount, not a sourced NSW cost.</t>
        </is>
      </c>
      <c r="O12" s="4" t="inlineStr">
        <is>
          <t>The row describes a NSW half of a project whose archived cost, capacity and timing evidence exists only at whole-interconnector or conditional-option boundaries, so its headline cost is an author split, its transformer rating is contradicted, and its route, syncon and feeder cells are unsupported.</t>
        </is>
      </c>
      <c r="P12" s="4" t="inlineStr">
        <is>
          <t>28 observations · 7 components · 13 events · 16 warnings · 9 sources</t>
        </is>
      </c>
    </row>
    <row r="13">
      <c r="A13" s="4" t="inlineStr">
        <is>
          <t>vni-west-victoria</t>
        </is>
      </c>
      <c r="B13" s="4" t="inlineStr">
        <is>
          <t>VNV-PROJECT-VNI-VIC</t>
        </is>
      </c>
      <c r="C13" s="4" t="inlineStr">
        <is>
          <t>VNI West (Victoria)</t>
        </is>
      </c>
      <c r="D13" s="4" t="inlineStr">
        <is>
          <t>One integrated VNI West interconnector Project (near Bulgana - Tragowel/Kerang - Dinawan). The Victorian specified-augmentation proceeding is a component/proceeding boundary, not a Victoria-only project or cost series.</t>
        </is>
      </c>
      <c r="E13" s="4" t="inlineStr">
        <is>
          <t>Actionable ISP project in the 2026 ISP. PADR published July 2022; RIT-T concluded May 2023 with the PACR confirming option 5A ($3,499m, 206 km Victorian portion); original s16Y Order gazetted February 2023 (S60), replaced by the Option 5A order in May 2023 (S267), amended by the CEO VicGrid order in November 2024 (S605) and by Special Orders substituting VicGrid in October 2025 (S590); feedback loop confirmed December 2023; EES final scoping requirements issued; early works under way; Iberdrola awarded design and development November 2025.</t>
        </is>
      </c>
      <c r="F13" s="4" t="inlineStr">
        <is>
          <t>Early works and community engagement under way; no construction outturn, approved revenue determination or contract price is archived.</t>
        </is>
      </c>
      <c r="G13" s="4" t="inlineStr">
        <is>
          <t>Joint RIT-T proponents Transgrid and AEMO Victorian Planning (AVP, now VicGrid); Transmission Company Victoria (TCV) delivers the Victorian part; Iberdrola awarded design and development in November 2025.</t>
        </is>
      </c>
      <c r="H13" s="4" t="inlineStr">
        <is>
          <t>Victorian part is a National Electricity (Victoria) Act 2005 specified augmentation (May 2023 order); the South West NSW REZ component is an actionable NSW project progressing under the Electricity Infrastructure Investment Act 2020 (NSW) rather than the ISP framework.</t>
        </is>
      </c>
      <c r="I13" s="4" t="inlineStr">
        <is>
          <t>2026 ISP VIC-NSW: forward 1,890 MW, reverse 1,670 MW, REZ V1 1,580 MW and WV2 200 MW. 2024 ISP option 1: North 1,935 MW, South 1,669 MW, V2 1,580 MW, V3 200 MW, N5 900 MW.</t>
        </is>
      </c>
      <c r="J13" s="4" t="inlineStr">
        <is>
          <t>Timing advised by proponent for the VIC-NSW component: November 2031 (2026 ISP). December 2029 capacity release date was identified in the PACR as reported in the 2024 ISP.</t>
        </is>
      </c>
      <c r="K13" s="4" t="n">
        <v>500</v>
      </c>
      <c r="L13" s="4" t="inlineStr">
        <is>
          <t>2031-11 (VIC-NSW timing advised by proponent, 2026 ISP)</t>
        </is>
      </c>
      <c r="M13" s="4" t="inlineStr">
        <is>
          <t>Prerequisites stated by AEMO: VNI West - South West NSW REZ Stage 1, Victorian Western Renewables Link, HumeLink, Project EnergyConnect. WRL connects at the terminal station near Bulgana but is a separate project.</t>
        </is>
      </c>
      <c r="N13" s="4" t="inlineStr">
        <is>
          <t>AEMO's $3,499m (2020-21 dollars, inclusive of $315m WRL), its $3,614m modelling conversion and the 2026 reported $7,600m ($2025, Class 4, 'South West NSW REZ + Interconnector') are discrete whole-interconnector observations with different scope, price basis, estimate class and WRL treatment. The now-archived PACR and PADR do split their own, earlier (2023 and 2022) preferred-option estimates by state ($1,755m Victoria / $1,744m New South Wales for Option 5A; $1,605m Victoria / $1,651m New South Wales for the PADR's superseded option), but no archived source states a Victoria-only amount for the current 2026 ISP reported total, so this pack does not construct a Victoria-only headline from these different-vintage figures.</t>
        </is>
      </c>
      <c r="O13" s="4" t="inlineStr">
        <is>
          <t>Timing, topology and now the Victorian route length are supportable from archived sources (the 2026 ISP and, for trunk_km, the 2023 PACR), but the cost cell remains an unsourced halving of a whole-interconnector figure. The PACR and PADR are now archived and do state Victoria/NSW cost splits for their own (2022/2023, RIT-T-vintage) estimates, but this pack does not promote those into a Victoria-only chart headline, so the row should still not be published as a Victoria-only cost.</t>
        </is>
      </c>
      <c r="P13" s="4" t="inlineStr">
        <is>
          <t>44 observations · 7 components · 16 events · 15 warnings · 10 sources</t>
        </is>
      </c>
    </row>
    <row r="14">
      <c r="A14" s="4" t="inlineStr">
        <is>
          <t>western-renewables-link</t>
        </is>
      </c>
      <c r="B14" s="4" t="inlineStr">
        <is>
          <t>WRL-PROJECT-WRL</t>
        </is>
      </c>
      <c r="C14" s="4" t="inlineStr">
        <is>
          <t>Western Renewables Link</t>
        </is>
      </c>
      <c r="D14" s="4" t="inlineStr">
        <is>
          <t>One continuous WRL Project, formerly named Western Victoria Transmission Network Project. The physical line, terminals, reactors, transformers and protection/control works are Components; the May 2023 uprate and North Ballarat terminal relocation is a scope Version. VNI West is a distinct related Project sharing the Bulgana terminal interface.</t>
        </is>
      </c>
      <c r="E14" s="4" t="inlineStr">
        <is>
          <t>Anticipated project in the AEMO 2026 ISP; EES public hearing concluded 3 March 2026 with no archived outcome. Not committed, approved or funded on the archived record.</t>
        </is>
      </c>
      <c r="F14" s="4" t="inlineStr">
        <is>
          <t>Anticipated (AEMO 2026 classification); construction status not evidenced.</t>
        </is>
      </c>
      <c r="G14" s="4" t="inlineStr">
        <is>
          <t>AusNet is the archived proponent; Victorian transmission planning responsibility transferred to VicGrid on 1 November 2025. No ownership or delivery instrument is archived.</t>
        </is>
      </c>
      <c r="H14" s="4" t="inlineStr">
        <is>
          <t>Not established in the archive. No RIT-T PACR, NEVA order, regulatory determination or funding instrument was acquired.</t>
        </is>
      </c>
      <c r="I14" s="4" t="inlineStr">
        <is>
          <t>AEMO: 1,460 MW of renewable capacity harnessed under the uprated scope (600 MW original design), 695 MW additional MEL-WNV network capacity and 310 MW REZ V2. AusNet separately claims capability of more than 3,000 MW.</t>
        </is>
      </c>
      <c r="J14" s="4" t="inlineStr">
        <is>
          <t>AEMO 2026 expects completion November 2029, superseding the 2024 mid-2027 / July-2027 representation. Not energisation or commercial operation.</t>
        </is>
      </c>
      <c r="K14" s="4" t="n">
        <v>500</v>
      </c>
      <c r="L14" s="4" t="inlineStr">
        <is>
          <t>November 2029 (AEMO 2026 expected completion)</t>
        </is>
      </c>
      <c r="M14" s="4" t="inlineStr">
        <is>
          <t>VNI West (connects at a terminal station near Bulgana; WRL is an interface/prerequisite). South West Victoria Expansion is a separate future project with a WRL prerequisite. Western Victoria Reinforcement is a distinct VicGrid program, not a WRL component.</t>
        </is>
      </c>
      <c r="N14" s="4" t="inlineStr">
        <is>
          <t>No WRL cost of any date or boundary is archived beyond a $315 million WRL amount stated as included inside VNI West's $3,499 million 2020-21-dollar quoted cost. The chart's $1.6 billion and the derived $/km therefore have no source, and the transformer and hub cells rest on shared Bulgana plant that cannot be allocated. Capacity, length, circuits, lines and the 2029 date are sourced, on differing definitions.</t>
        </is>
      </c>
      <c r="O14" s="4" t="inlineStr">
        <is>
          <t>Publishable only with the cost caveat: the physical and schedule cells are sourced, but the $1.6 billion cost and the $/km derived from it have no archived source, and the transformer and hub cells rest on unallocated shared Bulgana works.</t>
        </is>
      </c>
      <c r="P14" s="4" t="inlineStr">
        <is>
          <t>30 observations · 14 components · 11 events · 16 warnings · 6 sources</t>
        </is>
      </c>
    </row>
  </sheetData>
  <mergeCells count="2">
    <mergeCell ref="A1:P1"/>
    <mergeCell ref="A2:P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T483"/>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32" customWidth="1" min="3" max="3"/>
    <col width="12" customWidth="1" min="4" max="4"/>
    <col width="11" customWidth="1" min="5" max="5"/>
    <col width="34" customWidth="1" min="6" max="6"/>
    <col width="12" customWidth="1" min="7" max="7"/>
    <col width="14" customWidth="1" min="8" max="8"/>
    <col width="18" customWidth="1" min="9" max="9"/>
    <col width="14" customWidth="1" min="10" max="10"/>
    <col width="26" customWidth="1" min="11" max="11"/>
    <col width="30" customWidth="1" min="12" max="12"/>
    <col width="48" customWidth="1" min="13" max="13"/>
    <col width="42" customWidth="1" min="14" max="14"/>
    <col width="26" customWidth="1" min="15" max="15"/>
    <col width="12" customWidth="1" min="16" max="16"/>
    <col width="70" customWidth="1" min="17" max="17"/>
    <col width="11" customWidth="1" min="18" max="18"/>
    <col width="46" customWidth="1" min="19" max="19"/>
  </cols>
  <sheetData>
    <row r="1" ht="38" customHeight="1">
      <c r="A1" s="1" t="inlineStr">
        <is>
          <t>Observations</t>
        </is>
      </c>
    </row>
    <row r="2" ht="26" customHeight="1">
      <c r="A2" s="2" t="inlineStr">
        <is>
          <t>Every dated value in every pack. Boundaries and price bases differ: filter before comparing, never sum across boundaries.</t>
        </is>
      </c>
    </row>
    <row r="4" ht="30" customHeight="1">
      <c r="A4" s="3" t="inlineStr">
        <is>
          <t>Family</t>
        </is>
      </c>
      <c r="B4" s="3" t="inlineStr">
        <is>
          <t>Project ID</t>
        </is>
      </c>
      <c r="C4" s="3" t="inlineStr">
        <is>
          <t>Observation ID</t>
        </is>
      </c>
      <c r="D4" s="3" t="inlineStr">
        <is>
          <t>Measure</t>
        </is>
      </c>
      <c r="E4" s="3" t="inlineStr">
        <is>
          <t>Date</t>
        </is>
      </c>
      <c r="F4" s="3" t="inlineStr">
        <is>
          <t>Label</t>
        </is>
      </c>
      <c r="G4" s="3" t="inlineStr">
        <is>
          <t>Value</t>
        </is>
      </c>
      <c r="H4" s="3" t="inlineStr">
        <is>
          <t>Unit</t>
        </is>
      </c>
      <c r="I4" s="3" t="inlineStr">
        <is>
          <t>Price basis</t>
        </is>
      </c>
      <c r="J4" s="3" t="inlineStr">
        <is>
          <t>Estimate class</t>
        </is>
      </c>
      <c r="K4" s="3" t="inlineStr">
        <is>
          <t>Uncertainty</t>
        </is>
      </c>
      <c r="L4" s="3" t="inlineStr">
        <is>
          <t>Status</t>
        </is>
      </c>
      <c r="M4" s="3" t="inlineStr">
        <is>
          <t>Boundary</t>
        </is>
      </c>
      <c r="N4" s="3" t="inlineStr">
        <is>
          <t>Comparability</t>
        </is>
      </c>
      <c r="O4" s="3" t="inlineStr">
        <is>
          <t>Source ID</t>
        </is>
      </c>
      <c r="P4" s="3" t="inlineStr">
        <is>
          <t>Pages</t>
        </is>
      </c>
      <c r="Q4" s="3" t="inlineStr">
        <is>
          <t>Excerpt</t>
        </is>
      </c>
      <c r="R4" s="3" t="inlineStr">
        <is>
          <t>Selected</t>
        </is>
      </c>
      <c r="S4" s="3" t="inlineStr">
        <is>
          <t>Notes</t>
        </is>
      </c>
    </row>
    <row r="5">
      <c r="A5" s="4" t="inlineStr">
        <is>
          <t>Central-West Orana Renewable Energy Zone</t>
        </is>
      </c>
      <c r="B5" s="4" t="inlineStr">
        <is>
          <t>CWO-PROJECT-MAIN</t>
        </is>
      </c>
      <c r="C5" s="4" t="inlineStr">
        <is>
          <t>CWO-AO-2020-ISP-COST-LOW</t>
        </is>
      </c>
      <c r="D5" s="4" t="inlineStr">
        <is>
          <t>cost</t>
        </is>
      </c>
      <c r="E5" s="4" t="inlineStr">
        <is>
          <t>2020-07</t>
        </is>
      </c>
      <c r="F5" s="4" t="inlineStr">
        <is>
          <t>2020 ISP cost range lower bound</t>
        </is>
      </c>
      <c r="G5" s="4" t="n">
        <v>450</v>
      </c>
      <c r="H5" s="4" t="inlineStr">
        <is>
          <t>AUD million</t>
        </is>
      </c>
      <c r="I5" s="4" t="n"/>
      <c r="J5" s="4" t="n"/>
      <c r="K5" s="4" t="inlineStr">
        <is>
          <t>Published as a range $450m-$850m</t>
        </is>
      </c>
      <c r="L5" s="4" t="inlineStr">
        <is>
          <t>conceptual / pre-RIT-T planner estimate</t>
        </is>
      </c>
      <c r="M5" s="4" t="inlineStr">
        <is>
          <t>Central-West Orana REZ Transmission Link as an ISP candidate option: a 500 kV/330 kV loop; RIT-T not yet initiated</t>
        </is>
      </c>
      <c r="N5" s="4" t="inlineStr">
        <is>
          <t>Not like-for-like with any later figure: conceptual option, different scope and corridor, price basis not stated</t>
        </is>
      </c>
      <c r="O5" s="4" t="inlineStr">
        <is>
          <t>CWO-01</t>
        </is>
      </c>
      <c r="P5" s="4" t="inlineStr">
        <is>
          <t>31</t>
        </is>
      </c>
      <c r="Q5" s="4" t="inlineStr">
        <is>
          <t>Cost $450 million to $850 million</t>
        </is>
      </c>
      <c r="R5" s="4" t="inlineStr"/>
      <c r="S5" s="4" t="inlineStr">
        <is>
          <t>The 2020 ISP project table states no dollar year for this estimate. PRICE_BASIS_UNKNOWN warning applies.</t>
        </is>
      </c>
    </row>
    <row r="6">
      <c r="A6" s="4" t="inlineStr">
        <is>
          <t>Central-West Orana Renewable Energy Zone</t>
        </is>
      </c>
      <c r="B6" s="4" t="inlineStr">
        <is>
          <t>CWO-PROJECT-MAIN</t>
        </is>
      </c>
      <c r="C6" s="4" t="inlineStr">
        <is>
          <t>CWO-AO-2020-ISP-COST-HIGH</t>
        </is>
      </c>
      <c r="D6" s="4" t="inlineStr">
        <is>
          <t>cost</t>
        </is>
      </c>
      <c r="E6" s="4" t="inlineStr">
        <is>
          <t>2020-07</t>
        </is>
      </c>
      <c r="F6" s="4" t="inlineStr">
        <is>
          <t>2020 ISP cost range upper bound</t>
        </is>
      </c>
      <c r="G6" s="4" t="n">
        <v>850</v>
      </c>
      <c r="H6" s="4" t="inlineStr">
        <is>
          <t>AUD million</t>
        </is>
      </c>
      <c r="I6" s="4" t="n"/>
      <c r="J6" s="4" t="n"/>
      <c r="K6" s="4" t="inlineStr">
        <is>
          <t>Published as a range $450m-$850m</t>
        </is>
      </c>
      <c r="L6" s="4" t="inlineStr">
        <is>
          <t>conceptual / pre-RIT-T planner estimate</t>
        </is>
      </c>
      <c r="M6" s="4" t="inlineStr">
        <is>
          <t>Central-West Orana REZ Transmission Link as an ISP candidate option: a 500 kV/330 kV loop; RIT-T not yet initiated</t>
        </is>
      </c>
      <c r="N6" s="4" t="inlineStr">
        <is>
          <t>Upper bound of the same published range; not a separate scope</t>
        </is>
      </c>
      <c r="O6" s="4" t="inlineStr">
        <is>
          <t>CWO-01</t>
        </is>
      </c>
      <c r="P6" s="4" t="inlineStr">
        <is>
          <t>31</t>
        </is>
      </c>
      <c r="Q6" s="4" t="inlineStr">
        <is>
          <t>Cost $450 million to $850 million</t>
        </is>
      </c>
      <c r="R6" s="4" t="inlineStr"/>
      <c r="S6" s="4" t="inlineStr">
        <is>
          <t>Price basis not stated in the project table.</t>
        </is>
      </c>
    </row>
    <row r="7">
      <c r="A7" s="4" t="inlineStr">
        <is>
          <t>Central-West Orana Renewable Energy Zone</t>
        </is>
      </c>
      <c r="B7" s="4" t="inlineStr">
        <is>
          <t>CWO-PROJECT-MAIN</t>
        </is>
      </c>
      <c r="C7" s="4" t="inlineStr">
        <is>
          <t>CWO-AO-2020-ISP-COST-MID</t>
        </is>
      </c>
      <c r="D7" s="4" t="inlineStr">
        <is>
          <t>cost</t>
        </is>
      </c>
      <c r="E7" s="4" t="inlineStr">
        <is>
          <t>2020-07</t>
        </is>
      </c>
      <c r="F7" s="4" t="inlineStr">
        <is>
          <t>2020 ISP modelled cost</t>
        </is>
      </c>
      <c r="G7" s="4" t="n">
        <v>650</v>
      </c>
      <c r="H7" s="4" t="inlineStr">
        <is>
          <t>AUD million</t>
        </is>
      </c>
      <c r="I7" s="4" t="n"/>
      <c r="J7" s="4" t="n"/>
      <c r="K7" s="4" t="inlineStr">
        <is>
          <t>Midpoint of the $450m-$850m range as published in the summary table</t>
        </is>
      </c>
      <c r="L7" s="4" t="inlineStr">
        <is>
          <t>ISP modelled cost</t>
        </is>
      </c>
      <c r="M7" s="4" t="inlineStr">
        <is>
          <t>ISP modelled cost for the Central-West Orana REZ Transmission Link (3,000 MW link)</t>
        </is>
      </c>
      <c r="N7" s="4" t="inlineStr">
        <is>
          <t>Modelling input, not a proponent estimate; EnergyCo later stated this estimate is out of date</t>
        </is>
      </c>
      <c r="O7" s="4" t="inlineStr">
        <is>
          <t>CWO-01</t>
        </is>
      </c>
      <c r="P7" s="4" t="inlineStr">
        <is>
          <t>14</t>
        </is>
      </c>
      <c r="Q7" s="4" t="inlineStr">
        <is>
          <t>[$650 million]</t>
        </is>
      </c>
      <c r="R7" s="4" t="inlineStr"/>
      <c r="S7" s="4" t="inlineStr">
        <is>
          <t>Table 2 shows 'Cost range [ISP modelled cost]'. Price basis not stated.</t>
        </is>
      </c>
    </row>
    <row r="8">
      <c r="A8" s="4" t="inlineStr">
        <is>
          <t>Central-West Orana Renewable Energy Zone</t>
        </is>
      </c>
      <c r="B8" s="4" t="inlineStr">
        <is>
          <t>CWO-PROJECT-MAIN</t>
        </is>
      </c>
      <c r="C8" s="4" t="inlineStr">
        <is>
          <t>CWO-AO-2023-NIS-DELIVER-NOW</t>
        </is>
      </c>
      <c r="D8" s="4" t="inlineStr">
        <is>
          <t>cost</t>
        </is>
      </c>
      <c r="E8" s="4" t="inlineStr">
        <is>
          <t>2023-05</t>
        </is>
      </c>
      <c r="F8" s="4" t="inlineStr">
        <is>
          <t>NIS Deliver Now construction cost estimate (CWO REZ)</t>
        </is>
      </c>
      <c r="G8" s="4" t="n">
        <v>3200</v>
      </c>
      <c r="H8" s="4" t="inlineStr">
        <is>
          <t>AUD million</t>
        </is>
      </c>
      <c r="I8" s="4" t="inlineStr">
        <is>
          <t>Real 2021 Australian dollars</t>
        </is>
      </c>
      <c r="J8" s="4" t="inlineStr">
        <is>
          <t>Class 5b</t>
        </is>
      </c>
      <c r="K8" s="4" t="inlineStr">
        <is>
          <t>+/- 50%</t>
        </is>
      </c>
      <c r="L8" s="4" t="inlineStr">
        <is>
          <t>strategy preliminary estimate</t>
        </is>
      </c>
      <c r="M8" s="4" t="inlineStr">
        <is>
          <t>Deliver Now option for CWO REZ (Option 1A, 4.5 GW): development and construction costs only, excluding finance, generator connection and system strength costs</t>
        </is>
      </c>
      <c r="N8" s="4" t="inlineStr">
        <is>
          <t>Real 2021 dollars and an explicit exclusion boundary; not comparable with the 2024 nominal NER-equivalent or the 2025 determination</t>
        </is>
      </c>
      <c r="O8" s="4" t="inlineStr">
        <is>
          <t>CWO-04</t>
        </is>
      </c>
      <c r="P8" s="4" t="inlineStr">
        <is>
          <t>31</t>
        </is>
      </c>
      <c r="Q8" s="4" t="inlineStr">
        <is>
          <t>Construction cost preliminary estimate $3.2 billion $0.8 billion $1.3 billion</t>
        </is>
      </c>
      <c r="R8" s="4" t="inlineStr"/>
      <c r="S8" s="4" t="inlineStr">
        <is>
          <t>Same line states Secure Now $0.8 billion and Plan for the Future $1.3 billion.</t>
        </is>
      </c>
    </row>
    <row r="9">
      <c r="A9" s="4" t="inlineStr">
        <is>
          <t>Central-West Orana Renewable Energy Zone</t>
        </is>
      </c>
      <c r="B9" s="4" t="inlineStr">
        <is>
          <t>CWO-PROJECT-MAIN</t>
        </is>
      </c>
      <c r="C9" s="4" t="inlineStr">
        <is>
          <t>CWO-AO-2023-NIS-OPT1A-DETAIL</t>
        </is>
      </c>
      <c r="D9" s="4" t="inlineStr">
        <is>
          <t>cost</t>
        </is>
      </c>
      <c r="E9" s="4" t="inlineStr">
        <is>
          <t>2023-05</t>
        </is>
      </c>
      <c r="F9" s="4" t="inlineStr">
        <is>
          <t>Appendix B Option 1A total cost</t>
        </is>
      </c>
      <c r="G9" s="4" t="n">
        <v>3186</v>
      </c>
      <c r="H9" s="4" t="inlineStr">
        <is>
          <t>AUD million</t>
        </is>
      </c>
      <c r="I9" s="4" t="inlineStr">
        <is>
          <t>Real 2021 Australian dollars</t>
        </is>
      </c>
      <c r="J9" s="4" t="inlineStr">
        <is>
          <t>Class 5b</t>
        </is>
      </c>
      <c r="K9" s="4" t="inlineStr">
        <is>
          <t>+/- 50%</t>
        </is>
      </c>
      <c r="L9" s="4" t="inlineStr">
        <is>
          <t>strategy option estimate</t>
        </is>
      </c>
      <c r="M9" s="4" t="inlineStr">
        <is>
          <t>CWO REZ Option 1A (with Uungula mesh-in), 4,500 MW additional network capacity; development and construction costs only</t>
        </is>
      </c>
      <c r="N9" s="4" t="inlineStr">
        <is>
          <t>The detailed table value behind the rounded $3.2 billion; same real 2021 basis and exclusions</t>
        </is>
      </c>
      <c r="O9" s="4" t="inlineStr">
        <is>
          <t>CWO-05</t>
        </is>
      </c>
      <c r="P9" s="4" t="inlineStr">
        <is>
          <t>4</t>
        </is>
      </c>
      <c r="Q9" s="4" t="inlineStr">
        <is>
          <t>4,500 3,186 0.71 September</t>
        </is>
      </c>
      <c r="R9" s="4" t="inlineStr"/>
      <c r="S9" s="4" t="inlineStr">
        <is>
          <t>Table 1 row reads additional capacity 4,500 MW, total cost $3,186m, $0.71/MW. The same row records system strength remediation as 'Included as part of network build', which conflicts with the strategy's stated exclusion.</t>
        </is>
      </c>
    </row>
    <row r="10">
      <c r="A10" s="4" t="inlineStr">
        <is>
          <t>Central-West Orana Renewable Energy Zone</t>
        </is>
      </c>
      <c r="B10" s="4" t="inlineStr">
        <is>
          <t>CWO-PROJECT-MAIN</t>
        </is>
      </c>
      <c r="C10" s="4" t="inlineStr">
        <is>
          <t>CWO-AO-2023-NIS-SECURE-NOW</t>
        </is>
      </c>
      <c r="D10" s="4" t="inlineStr">
        <is>
          <t>cost</t>
        </is>
      </c>
      <c r="E10" s="4" t="inlineStr">
        <is>
          <t>2023-05</t>
        </is>
      </c>
      <c r="F10" s="4" t="inlineStr">
        <is>
          <t>NIS Secure Now construction cost estimate (CWO REZ)</t>
        </is>
      </c>
      <c r="G10" s="4" t="n">
        <v>800</v>
      </c>
      <c r="H10" s="4" t="inlineStr">
        <is>
          <t>AUD million</t>
        </is>
      </c>
      <c r="I10" s="4" t="inlineStr">
        <is>
          <t>Real 2021 Australian dollars</t>
        </is>
      </c>
      <c r="J10" s="4" t="inlineStr">
        <is>
          <t>Class 5b</t>
        </is>
      </c>
      <c r="K10" s="4" t="inlineStr">
        <is>
          <t>+/- 50%</t>
        </is>
      </c>
      <c r="L10" s="4" t="inlineStr">
        <is>
          <t>strategy preliminary estimate</t>
        </is>
      </c>
      <c r="M10" s="4" t="inlineStr">
        <is>
          <t>Secure Now options adding 2.3 GW at CWO REZ; development and construction costs only</t>
        </is>
      </c>
      <c r="N10" s="4" t="inlineStr">
        <is>
          <t>A separate future option, not part of the Deliver Now amount</t>
        </is>
      </c>
      <c r="O10" s="4" t="inlineStr">
        <is>
          <t>CWO-04</t>
        </is>
      </c>
      <c r="P10" s="4" t="inlineStr">
        <is>
          <t>31</t>
        </is>
      </c>
      <c r="Q10" s="4" t="inlineStr">
        <is>
          <t>Construction cost preliminary estimate $3.2 billion $0.8 billion $1.3 billion</t>
        </is>
      </c>
      <c r="R10" s="4" t="inlineStr"/>
      <c r="S10" s="4" t="inlineStr"/>
    </row>
    <row r="11">
      <c r="A11" s="4" t="inlineStr">
        <is>
          <t>Central-West Orana Renewable Energy Zone</t>
        </is>
      </c>
      <c r="B11" s="4" t="inlineStr">
        <is>
          <t>CWO-PROJECT-MAIN</t>
        </is>
      </c>
      <c r="C11" s="4" t="inlineStr">
        <is>
          <t>CWO-AO-2023-NIS-PLAN-FUTURE</t>
        </is>
      </c>
      <c r="D11" s="4" t="inlineStr">
        <is>
          <t>cost</t>
        </is>
      </c>
      <c r="E11" s="4" t="inlineStr">
        <is>
          <t>2023-05</t>
        </is>
      </c>
      <c r="F11" s="4" t="inlineStr">
        <is>
          <t>NIS Plan for the Future construction cost estimate (CWO REZ)</t>
        </is>
      </c>
      <c r="G11" s="4" t="n">
        <v>1300</v>
      </c>
      <c r="H11" s="4" t="inlineStr">
        <is>
          <t>AUD million</t>
        </is>
      </c>
      <c r="I11" s="4" t="inlineStr">
        <is>
          <t>Real 2021 Australian dollars</t>
        </is>
      </c>
      <c r="J11" s="4" t="inlineStr">
        <is>
          <t>Class 5b</t>
        </is>
      </c>
      <c r="K11" s="4" t="inlineStr">
        <is>
          <t>+/- 50%</t>
        </is>
      </c>
      <c r="L11" s="4" t="inlineStr">
        <is>
          <t>strategy preliminary estimate</t>
        </is>
      </c>
      <c r="M11" s="4" t="inlineStr">
        <is>
          <t>Plan for the Future options adding 3.5 GW at CWO REZ; development and construction costs only</t>
        </is>
      </c>
      <c r="N11" s="4" t="inlineStr">
        <is>
          <t>A conditional long-run option (indicative delivery 2043); not part of any approved amount</t>
        </is>
      </c>
      <c r="O11" s="4" t="inlineStr">
        <is>
          <t>CWO-04</t>
        </is>
      </c>
      <c r="P11" s="4" t="inlineStr">
        <is>
          <t>31</t>
        </is>
      </c>
      <c r="Q11" s="4" t="inlineStr">
        <is>
          <t>Construction cost preliminary estimate $3.2 billion $0.8 billion $1.3 billion</t>
        </is>
      </c>
      <c r="R11" s="4" t="inlineStr"/>
      <c r="S11" s="4" t="inlineStr"/>
    </row>
    <row r="12">
      <c r="A12" s="4" t="inlineStr">
        <is>
          <t>Central-West Orana Renewable Energy Zone</t>
        </is>
      </c>
      <c r="B12" s="4" t="inlineStr">
        <is>
          <t>CWO-PROJECT-MAIN</t>
        </is>
      </c>
      <c r="C12" s="4" t="inlineStr">
        <is>
          <t>CWO-AO-2023-NIS-OPT2B</t>
        </is>
      </c>
      <c r="D12" s="4" t="inlineStr">
        <is>
          <t>cost</t>
        </is>
      </c>
      <c r="E12" s="4" t="inlineStr">
        <is>
          <t>2023-05</t>
        </is>
      </c>
      <c r="F12" s="4" t="inlineStr">
        <is>
          <t>Appendix B Option 2B (Elong Elong expansion) cost</t>
        </is>
      </c>
      <c r="G12" s="4" t="n">
        <v>324</v>
      </c>
      <c r="H12" s="4" t="inlineStr">
        <is>
          <t>AUD million</t>
        </is>
      </c>
      <c r="I12" s="4" t="inlineStr">
        <is>
          <t>Real 2021 Australian dollars</t>
        </is>
      </c>
      <c r="J12" s="4" t="inlineStr">
        <is>
          <t>Class 5b</t>
        </is>
      </c>
      <c r="K12" s="4" t="inlineStr">
        <is>
          <t>+/- 50%</t>
        </is>
      </c>
      <c r="L12" s="4" t="inlineStr">
        <is>
          <t>strategy option estimate</t>
        </is>
      </c>
      <c r="M12" s="4" t="inlineStr">
        <is>
          <t>Option 2B, Elong Elong expansion, nominally 3,000 MW additional capacity; prerequisite Option 1A; Hunter Transmission Project prerequisite cost not included</t>
        </is>
      </c>
      <c r="N12" s="4" t="inlineStr">
        <is>
          <t>The 2023 predecessor concept to the 2026 Expansion, but a different scope, capacity claim and dollar basis</t>
        </is>
      </c>
      <c r="O12" s="4" t="inlineStr">
        <is>
          <t>CWO-05</t>
        </is>
      </c>
      <c r="P12" s="4" t="inlineStr">
        <is>
          <t>5</t>
        </is>
      </c>
      <c r="Q12" s="4" t="inlineStr">
        <is>
          <t>3,000 324 0.11 March</t>
        </is>
      </c>
      <c r="R12" s="4" t="inlineStr"/>
      <c r="S12" s="4" t="inlineStr">
        <is>
          <t>Source note: Hunter Transmission Project required above 3 GW total network capacity; its cost is not included. Strategy text says Option 2B is limited to 1.5 GW until downstream augmentation.</t>
        </is>
      </c>
    </row>
    <row r="13">
      <c r="A13" s="4" t="inlineStr">
        <is>
          <t>Central-West Orana Renewable Energy Zone</t>
        </is>
      </c>
      <c r="B13" s="4" t="inlineStr">
        <is>
          <t>CWO-PROJECT-MAIN</t>
        </is>
      </c>
      <c r="C13" s="4" t="inlineStr">
        <is>
          <t>CWO-AO-2024-IPR-COMBINED</t>
        </is>
      </c>
      <c r="D13" s="4" t="inlineStr">
        <is>
          <t>cost</t>
        </is>
      </c>
      <c r="E13" s="4" t="inlineStr">
        <is>
          <t>2024-05</t>
        </is>
      </c>
      <c r="F13" s="4" t="inlineStr">
        <is>
          <t>EnergyCo recommendation NER-equivalent consumer-funded capital cost</t>
        </is>
      </c>
      <c r="G13" s="4" t="n">
        <v>5450</v>
      </c>
      <c r="H13" s="4" t="inlineStr">
        <is>
          <t>AUD million</t>
        </is>
      </c>
      <c r="I13" s="4" t="inlineStr">
        <is>
          <t>Nominal, adjusted for inflation, as of February 2024</t>
        </is>
      </c>
      <c r="J13" s="4" t="n"/>
      <c r="K13" s="4" t="inlineStr">
        <is>
          <t>Stated as subject to adjustment before financial close</t>
        </is>
      </c>
      <c r="L13" s="4" t="inlineStr">
        <is>
          <t>infrastructure planner recommendation estimate</t>
        </is>
      </c>
      <c r="M13" s="4" t="inlineStr">
        <is>
          <t>Main RNIP and Enabling RNIP combined: core network, ACEREZ and upfront development, property, biodiversity, community, roads and Enabling works. Excludes generator-borne H2P and centralised system strength, financing costs during construction and contingency</t>
        </is>
      </c>
      <c r="N13" s="4" t="inlineStr">
        <is>
          <t>Nominal as at February 2024 and a combined Main+Enabling boundary; not comparable with the 2023 real-2021 estimate or with the Main-only 2025 determination</t>
        </is>
      </c>
      <c r="O13" s="4" t="inlineStr">
        <is>
          <t>CWO-09</t>
        </is>
      </c>
      <c r="P13" s="4" t="inlineStr">
        <is>
          <t>11</t>
        </is>
      </c>
      <c r="Q13" s="4" t="inlineStr">
        <is>
          <t>REZ is expected be around $5.45 billion (nominal value, adjusted for inflation) for recommendation</t>
        </is>
      </c>
      <c r="R13" s="4" t="inlineStr"/>
      <c r="S13" s="4" t="inlineStr">
        <is>
          <t>Already includes the Enabling works; do not add the 2026 Enabling determination to this figure.</t>
        </is>
      </c>
    </row>
    <row r="14">
      <c r="A14" s="4" t="inlineStr">
        <is>
          <t>Central-West Orana Renewable Energy Zone</t>
        </is>
      </c>
      <c r="B14" s="4" t="inlineStr">
        <is>
          <t>CWO-PROJECT-MAIN</t>
        </is>
      </c>
      <c r="C14" s="4" t="inlineStr">
        <is>
          <t>CWO-AO-2025-MAIN-REMADE</t>
        </is>
      </c>
      <c r="D14" s="4" t="inlineStr">
        <is>
          <t>cost</t>
        </is>
      </c>
      <c r="E14" s="4" t="inlineStr">
        <is>
          <t>2025-06</t>
        </is>
      </c>
      <c r="F14" s="4" t="inlineStr">
        <is>
          <t>AER remade determination NER-equivalent Main capital cost</t>
        </is>
      </c>
      <c r="G14" s="4" t="n">
        <v>5526.1</v>
      </c>
      <c r="H14" s="4" t="inlineStr">
        <is>
          <t>AUD million</t>
        </is>
      </c>
      <c r="I14" s="4" t="inlineStr">
        <is>
          <t>Nominal</t>
        </is>
      </c>
      <c r="J14" s="4" t="n"/>
      <c r="K14" s="4" t="inlineStr">
        <is>
          <t>Subject to 29 adjustment mechanisms and five-yearly remakes</t>
        </is>
      </c>
      <c r="L14" s="4" t="inlineStr">
        <is>
          <t>regulator determination (post financial close)</t>
        </is>
      </c>
      <c r="M14" s="4" t="inlineStr">
        <is>
          <t>Main CWO REZ network project only: NER-equivalent development and construction capital cost, consumer-funded. Excludes access-fee-funded H2P and centralised system strength, capitalised interest and finance fees; the total determined development and construction capital cost is not published</t>
        </is>
      </c>
      <c r="N14" s="4" t="inlineStr">
        <is>
          <t>Nominal, cash-flow years 2025-2029; a published NER-equivalent, not a scope-complete economic cost and not an outturn</t>
        </is>
      </c>
      <c r="O14" s="4" t="inlineStr">
        <is>
          <t>CWO-18</t>
        </is>
      </c>
      <c r="P14" s="4" t="inlineStr">
        <is>
          <t>38</t>
        </is>
      </c>
      <c r="Q14" s="4" t="inlineStr">
        <is>
          <t>Table 5.1 sets out the NER-equivalent capital cost for the Project of $5,526.1m (nominal)</t>
        </is>
      </c>
      <c r="R14" s="4" t="inlineStr">
        <is>
          <t>selected</t>
        </is>
      </c>
      <c r="S14" s="4" t="inlineStr">
        <is>
          <t>Table 5.1 profile: 2,977.9 / 1,549.1 / 716.2 / 230.6 / 52.2 = 5,526.1. The AER states it must publish this NER-equivalent instead of the total determined development and construction capital cost.</t>
        </is>
      </c>
    </row>
    <row r="15">
      <c r="A15" s="4" t="inlineStr">
        <is>
          <t>Central-West Orana Renewable Energy Zone</t>
        </is>
      </c>
      <c r="B15" s="4" t="inlineStr">
        <is>
          <t>CWO-PROJECT-MAIN</t>
        </is>
      </c>
      <c r="C15" s="4" t="inlineStr">
        <is>
          <t>CWO-AO-2025-MAIN-REDUCTION</t>
        </is>
      </c>
      <c r="D15" s="4" t="inlineStr">
        <is>
          <t>cost</t>
        </is>
      </c>
      <c r="E15" s="4" t="inlineStr">
        <is>
          <t>2025-06</t>
        </is>
      </c>
      <c r="F15" s="4" t="inlineStr">
        <is>
          <t>Reduction in NER-equivalent Main capital cost against the initial determination</t>
        </is>
      </c>
      <c r="G15" s="4" t="n">
        <v>173.2</v>
      </c>
      <c r="H15" s="4" t="inlineStr">
        <is>
          <t>AUD million</t>
        </is>
      </c>
      <c r="I15" s="4" t="inlineStr">
        <is>
          <t>Nominal</t>
        </is>
      </c>
      <c r="J15" s="4" t="n"/>
      <c r="K15" s="4" t="n"/>
      <c r="L15" s="4" t="inlineStr">
        <is>
          <t>regulator-stated movement</t>
        </is>
      </c>
      <c r="M15" s="4" t="inlineStr">
        <is>
          <t>Net movement between the initial (December 2024) and remade (June 2025) NER-equivalent development and construction capital cost for the Main project</t>
        </is>
      </c>
      <c r="N15" s="4" t="inlineStr">
        <is>
          <t>The only like-definition revision published; it is a net figure combining increases and the Barigan Creek removal, with no individual attributions published</t>
        </is>
      </c>
      <c r="O15" s="4" t="inlineStr">
        <is>
          <t>CWO-18</t>
        </is>
      </c>
      <c r="P15" s="4" t="inlineStr">
        <is>
          <t>38</t>
        </is>
      </c>
      <c r="Q15" s="4" t="inlineStr">
        <is>
          <t>following our adjustment decision, as calculated by EnergyCo. This is a reduction of $173.2m</t>
        </is>
      </c>
      <c r="R15" s="4" t="inlineStr"/>
      <c r="S15" s="4" t="inlineStr">
        <is>
          <t>The initial determination's own NER-equivalent total is not published in either archived AER report; $5,699.3m appears only as an arithmetic complement and is not recorded here as a sourced observation.</t>
        </is>
      </c>
    </row>
    <row r="16">
      <c r="A16" s="4" t="inlineStr">
        <is>
          <t>Central-West Orana Renewable Energy Zone</t>
        </is>
      </c>
      <c r="B16" s="4" t="inlineStr">
        <is>
          <t>CWO-PROJECT-MAIN</t>
        </is>
      </c>
      <c r="C16" s="4" t="inlineStr">
        <is>
          <t>CWO-AO-2025-ENABLING-PROPOSAL</t>
        </is>
      </c>
      <c r="D16" s="4" t="inlineStr">
        <is>
          <t>cost</t>
        </is>
      </c>
      <c r="E16" s="4" t="inlineStr">
        <is>
          <t>2025-07</t>
        </is>
      </c>
      <c r="F16" s="4" t="inlineStr">
        <is>
          <t>Transgrid Enabling project proposed total capex</t>
        </is>
      </c>
      <c r="G16" s="4" t="n">
        <v>437.9</v>
      </c>
      <c r="H16" s="4" t="inlineStr">
        <is>
          <t>AUD million</t>
        </is>
      </c>
      <c r="I16" s="4" t="inlineStr">
        <is>
          <t>Real $2025-26</t>
        </is>
      </c>
      <c r="J16" s="4" t="n"/>
      <c r="K16" s="4" t="n"/>
      <c r="L16" s="4" t="inlineStr">
        <is>
          <t>proponent proposal</t>
        </is>
      </c>
      <c r="M16" s="4" t="inlineStr">
        <is>
          <t>CWO Enabling project as proposed by Transgrid, including $8.2m pre-period early development activities and equity raising costs; excludes BCSS incremental expenditure</t>
        </is>
      </c>
      <c r="N16" s="4" t="inlineStr">
        <is>
          <t>Proponent proposal, superseded by the AER final decision; same real 2025-26 basis</t>
        </is>
      </c>
      <c r="O16" s="4" t="inlineStr">
        <is>
          <t>CWO-21</t>
        </is>
      </c>
      <c r="P16" s="4" t="inlineStr">
        <is>
          <t>11</t>
        </is>
      </c>
      <c r="Q16" s="4" t="inlineStr">
        <is>
          <t>Project with total capital expenditure (capex) of $437.9 million ($2025–26) and proposed total</t>
        </is>
      </c>
      <c r="R16" s="4" t="inlineStr"/>
      <c r="S16" s="4" t="inlineStr"/>
    </row>
    <row r="17">
      <c r="A17" s="4" t="inlineStr">
        <is>
          <t>Central-West Orana Renewable Energy Zone</t>
        </is>
      </c>
      <c r="B17" s="4" t="inlineStr">
        <is>
          <t>CWO-PROJECT-MAIN</t>
        </is>
      </c>
      <c r="C17" s="4" t="inlineStr">
        <is>
          <t>CWO-AO-2025-ENABLING-REVENUE</t>
        </is>
      </c>
      <c r="D17" s="4" t="inlineStr">
        <is>
          <t>other</t>
        </is>
      </c>
      <c r="E17" s="4" t="inlineStr">
        <is>
          <t>2025-07</t>
        </is>
      </c>
      <c r="F17" s="4" t="inlineStr">
        <is>
          <t>Transgrid Enabling proposed maximum allowed revenue 2026-31</t>
        </is>
      </c>
      <c r="G17" s="4" t="n">
        <v>165.1</v>
      </c>
      <c r="H17" s="4" t="inlineStr">
        <is>
          <t>AUD million</t>
        </is>
      </c>
      <c r="I17" s="4" t="inlineStr">
        <is>
          <t>Nominal</t>
        </is>
      </c>
      <c r="J17" s="4" t="n"/>
      <c r="K17" s="4" t="n"/>
      <c r="L17" s="4" t="inlineStr">
        <is>
          <t>proponent proposal</t>
        </is>
      </c>
      <c r="M17" s="4" t="inlineStr">
        <is>
          <t>Allowed revenue over the 2026-31 regulatory period for the CWO Enabling project; a revenue amount, not capital expenditure</t>
        </is>
      </c>
      <c r="N17" s="4" t="inlineStr">
        <is>
          <t>A revenue building-block total; never additive with or substitutable for capex</t>
        </is>
      </c>
      <c r="O17" s="4" t="inlineStr">
        <is>
          <t>CWO-21</t>
        </is>
      </c>
      <c r="P17" s="4" t="inlineStr">
        <is>
          <t>11</t>
        </is>
      </c>
      <c r="Q17" s="4" t="inlineStr">
        <is>
          <t>Project with total capital expenditure (capex) of $437.9 million ($2025–26) and proposed total</t>
        </is>
      </c>
      <c r="R17" s="4" t="inlineStr"/>
      <c r="S17" s="4" t="inlineStr">
        <is>
          <t>Excerpt line continues 'revenue of $165.1 million ($ nominal) over the 2026-31 period.' Recorded to prevent revenue/capex conflation.</t>
        </is>
      </c>
    </row>
    <row r="18">
      <c r="A18" s="4" t="inlineStr">
        <is>
          <t>Central-West Orana Renewable Energy Zone</t>
        </is>
      </c>
      <c r="B18" s="4" t="inlineStr">
        <is>
          <t>CWO-PROJECT-MAIN</t>
        </is>
      </c>
      <c r="C18" s="4" t="inlineStr">
        <is>
          <t>CWO-AO-2026-ENABLING-FINAL-EX</t>
        </is>
      </c>
      <c r="D18" s="4" t="inlineStr">
        <is>
          <t>cost</t>
        </is>
      </c>
      <c r="E18" s="4" t="inlineStr">
        <is>
          <t>2026-01</t>
        </is>
      </c>
      <c r="F18" s="4" t="inlineStr">
        <is>
          <t>AER final decision Enabling capex excluding equity raising costs</t>
        </is>
      </c>
      <c r="G18" s="4" t="n">
        <v>402.8</v>
      </c>
      <c r="H18" s="4" t="inlineStr">
        <is>
          <t>AUD million</t>
        </is>
      </c>
      <c r="I18" s="4" t="inlineStr">
        <is>
          <t>Real $2025-26</t>
        </is>
      </c>
      <c r="J18" s="4" t="n"/>
      <c r="K18" s="4" t="n"/>
      <c r="L18" s="4" t="inlineStr">
        <is>
          <t>regulator final decision</t>
        </is>
      </c>
      <c r="M18" s="4" t="inlineStr">
        <is>
          <t>CWO Enabling project: AER alternative capex estimate excluding equity raising costs; excludes $8.2m early development and any BCSS incremental expenditure</t>
        </is>
      </c>
      <c r="N18" s="4" t="inlineStr">
        <is>
          <t>Real 2025-26 capex for the Enabling boundary only; not comparable with the Main nominal NER-equivalent</t>
        </is>
      </c>
      <c r="O18" s="4" t="inlineStr">
        <is>
          <t>CWO-21</t>
        </is>
      </c>
      <c r="P18" s="4" t="inlineStr">
        <is>
          <t>50</t>
        </is>
      </c>
      <c r="Q18" s="4" t="inlineStr">
        <is>
          <t>Our final decision is to provide an alternative capex estimate of $402.8 million ($2025–26).</t>
        </is>
      </c>
      <c r="R18" s="4" t="inlineStr"/>
      <c r="S18" s="4" t="inlineStr">
        <is>
          <t>PDF page 50 is printed page 46.</t>
        </is>
      </c>
    </row>
    <row r="19">
      <c r="A19" s="4" t="inlineStr">
        <is>
          <t>Central-West Orana Renewable Energy Zone</t>
        </is>
      </c>
      <c r="B19" s="4" t="inlineStr">
        <is>
          <t>CWO-PROJECT-MAIN</t>
        </is>
      </c>
      <c r="C19" s="4" t="inlineStr">
        <is>
          <t>CWO-AO-2026-ENABLING-FINAL-INC</t>
        </is>
      </c>
      <c r="D19" s="4" t="inlineStr">
        <is>
          <t>cost</t>
        </is>
      </c>
      <c r="E19" s="4" t="inlineStr">
        <is>
          <t>2026-01</t>
        </is>
      </c>
      <c r="F19" s="4" t="inlineStr">
        <is>
          <t>AER final decision Enabling total capex including equity raising costs</t>
        </is>
      </c>
      <c r="G19" s="4" t="n">
        <v>406</v>
      </c>
      <c r="H19" s="4" t="inlineStr">
        <is>
          <t>AUD million</t>
        </is>
      </c>
      <c r="I19" s="4" t="inlineStr">
        <is>
          <t>Real $2025-26</t>
        </is>
      </c>
      <c r="J19" s="4" t="n"/>
      <c r="K19" s="4" t="n"/>
      <c r="L19" s="4" t="inlineStr">
        <is>
          <t>regulator final decision</t>
        </is>
      </c>
      <c r="M19" s="4" t="inlineStr">
        <is>
          <t>CWO Enabling project: total capex including $3.3m equity raising costs; excludes $8.2m early development and BCSS incremental expenditure</t>
        </is>
      </c>
      <c r="N19" s="4" t="inlineStr">
        <is>
          <t>This is the value the chart uses; real 2025-26, a different price basis and payer boundary from the Main nominal figure</t>
        </is>
      </c>
      <c r="O19" s="4" t="inlineStr">
        <is>
          <t>CWO-21</t>
        </is>
      </c>
      <c r="P19" s="4" t="inlineStr">
        <is>
          <t>50</t>
        </is>
      </c>
      <c r="Q19" s="4" t="inlineStr">
        <is>
          <t>Total capex - 284.4 108.1 13.5 - - 406.0</t>
        </is>
      </c>
      <c r="R19" s="4" t="inlineStr"/>
      <c r="S19" s="4" t="inlineStr">
        <is>
          <t>Table 9.2, PDF page 50 (printed page 46), matching the author's citation.</t>
        </is>
      </c>
    </row>
    <row r="20">
      <c r="A20" s="4" t="inlineStr">
        <is>
          <t>Central-West Orana Renewable Energy Zone</t>
        </is>
      </c>
      <c r="B20" s="4" t="inlineStr">
        <is>
          <t>CWO-PROJECT-MAIN</t>
        </is>
      </c>
      <c r="C20" s="4" t="inlineStr">
        <is>
          <t>CWO-AO-2026-ENABLING-EARLYDEV-EXCLUDED</t>
        </is>
      </c>
      <c r="D20" s="4" t="inlineStr">
        <is>
          <t>cost</t>
        </is>
      </c>
      <c r="E20" s="4" t="inlineStr">
        <is>
          <t>2026-01</t>
        </is>
      </c>
      <c r="F20" s="4" t="inlineStr">
        <is>
          <t>Early development costs excluded from the Enabling final decision</t>
        </is>
      </c>
      <c r="G20" s="4" t="n">
        <v>8.199999999999999</v>
      </c>
      <c r="H20" s="4" t="inlineStr">
        <is>
          <t>AUD million</t>
        </is>
      </c>
      <c r="I20" s="4" t="inlineStr">
        <is>
          <t>Real $2025-26</t>
        </is>
      </c>
      <c r="J20" s="4" t="n"/>
      <c r="K20" s="4" t="n"/>
      <c r="L20" s="4" t="inlineStr">
        <is>
          <t>regulator exclusion</t>
        </is>
      </c>
      <c r="M20" s="4" t="inlineStr">
        <is>
          <t>Pre-period early development activities incurred before authorisation of the project and the establishment of the EII Act; excluded by the AER</t>
        </is>
      </c>
      <c r="N20" s="4" t="inlineStr">
        <is>
          <t>An exclusion, not a cost to be added; recorded so the proposal-to-final movement is traceable</t>
        </is>
      </c>
      <c r="O20" s="4" t="inlineStr">
        <is>
          <t>CWO-21</t>
        </is>
      </c>
      <c r="P20" s="4" t="inlineStr">
        <is>
          <t>50</t>
        </is>
      </c>
      <c r="Q20" s="4" t="inlineStr">
        <is>
          <t>• excluding $8.2 million of pre-period costs for early development activities incurred prior to</t>
        </is>
      </c>
      <c r="R20" s="4" t="inlineStr"/>
      <c r="S20" s="4" t="inlineStr"/>
    </row>
    <row r="21">
      <c r="A21" s="4" t="inlineStr">
        <is>
          <t>Central-West Orana Renewable Energy Zone</t>
        </is>
      </c>
      <c r="B21" s="4" t="inlineStr">
        <is>
          <t>CWO-PROJECT-MAIN</t>
        </is>
      </c>
      <c r="C21" s="4" t="inlineStr">
        <is>
          <t>CWO-AO-2026-BCSS-PRICE</t>
        </is>
      </c>
      <c r="D21" s="4" t="inlineStr">
        <is>
          <t>cost</t>
        </is>
      </c>
      <c r="E21" s="4" t="inlineStr">
        <is>
          <t>2026-01</t>
        </is>
      </c>
      <c r="F21" s="4" t="inlineStr">
        <is>
          <t>Barigan Creek Switching Station purchase price</t>
        </is>
      </c>
      <c r="G21" s="4" t="n">
        <v>186.8</v>
      </c>
      <c r="H21" s="4" t="inlineStr">
        <is>
          <t>AUD million</t>
        </is>
      </c>
      <c r="I21" s="4" t="n"/>
      <c r="J21" s="4" t="n"/>
      <c r="K21" s="4" t="n"/>
      <c r="L21" s="4" t="inlineStr">
        <is>
          <t>arranged purchase price, subject to adjustment</t>
        </is>
      </c>
      <c r="M21" s="4" t="inlineStr">
        <is>
          <t>Price at which Transgrid would purchase the BCSS from ACEREZ after construction and pre-commissioning; not in the current Enabling revenue proposal or determination</t>
        </is>
      </c>
      <c r="N21" s="4" t="inlineStr">
        <is>
          <t>A future, adjustable transfer price; not part of the $406.0m Enabling capex nor separately identified inside the $5,526.1m Main figure</t>
        </is>
      </c>
      <c r="O21" s="4" t="inlineStr">
        <is>
          <t>CWO-21</t>
        </is>
      </c>
      <c r="P21" s="4" t="inlineStr">
        <is>
          <t>7</t>
        </is>
      </c>
      <c r="Q21" s="4" t="inlineStr">
        <is>
          <t>$186.8 million) and then energise and commission the asset.</t>
        </is>
      </c>
      <c r="R21" s="4" t="inlineStr"/>
      <c r="S21" s="4" t="inlineStr">
        <is>
          <t>Adjustable through the 'BCSS Purchase Price Adjustment' mechanism; costs to enter a future revenue determination. Dollar basis not stated. PRICE_BASIS_UNKNOWN warning applies.</t>
        </is>
      </c>
    </row>
    <row r="22">
      <c r="A22" s="4" t="inlineStr">
        <is>
          <t>Central-West Orana Renewable Energy Zone</t>
        </is>
      </c>
      <c r="B22" s="4" t="inlineStr">
        <is>
          <t>CWO-PROJECT-MAIN</t>
        </is>
      </c>
      <c r="C22" s="4" t="inlineStr">
        <is>
          <t>CWO-AO-2026-EXPANSION-COST</t>
        </is>
      </c>
      <c r="D22" s="4" t="inlineStr">
        <is>
          <t>cost</t>
        </is>
      </c>
      <c r="E22" s="4" t="inlineStr">
        <is>
          <t>2026-06</t>
        </is>
      </c>
      <c r="F22" s="4" t="inlineStr">
        <is>
          <t>2026 ISP reported cost for the CWO REZ Expansion</t>
        </is>
      </c>
      <c r="G22" s="4" t="n">
        <v>855</v>
      </c>
      <c r="H22" s="4" t="inlineStr">
        <is>
          <t>AUD million</t>
        </is>
      </c>
      <c r="I22" s="4" t="n"/>
      <c r="J22" s="4" t="inlineStr">
        <is>
          <t>Class 5b</t>
        </is>
      </c>
      <c r="K22" s="4" t="inlineStr">
        <is>
          <t>±50%</t>
        </is>
      </c>
      <c r="L22" s="4" t="inlineStr">
        <is>
          <t>actionable New South Wales project / planner reported cost</t>
        </is>
      </c>
      <c r="M22" s="4" t="inlineStr">
        <is>
          <t>N3 Option 1 CWO REZ Expansion: Merotherie-B substation, line re-terminations, Merotherie-A to Merotherie-B line, Elong Elong expansion and 500 kV operation. Prerequisite: the committed Main project</t>
        </is>
      </c>
      <c r="N22" s="4" t="inlineStr">
        <is>
          <t>A future actionable-project estimate with no stated dollar year; not an authorised or determined amount and not comparable with the determined Main or Enabling values</t>
        </is>
      </c>
      <c r="O22" s="4" t="inlineStr">
        <is>
          <t>CWO-22</t>
        </is>
      </c>
      <c r="P22" s="4" t="inlineStr">
        <is>
          <t>57</t>
        </is>
      </c>
      <c r="Q22" s="4" t="inlineStr">
        <is>
          <t>1,500 855</t>
        </is>
      </c>
      <c r="R22" s="4" t="inlineStr"/>
      <c r="S22" s="4" t="inlineStr">
        <is>
          <t>Table row reads additional network capacity 1,500 MW and reported cost 855 ($ million), followed by 'Class 5b (±50%)'. The project entry does not state a dollar year. PRICE_BASIS_UNKNOWN warning applies.</t>
        </is>
      </c>
    </row>
    <row r="23">
      <c r="A23" s="4" t="inlineStr">
        <is>
          <t>Central-West Orana Renewable Energy Zone</t>
        </is>
      </c>
      <c r="B23" s="4" t="inlineStr">
        <is>
          <t>CWO-PROJECT-MAIN</t>
        </is>
      </c>
      <c r="C23" s="4" t="inlineStr">
        <is>
          <t>CWO-AO-2025-H2P-FEE-LRS1</t>
        </is>
      </c>
      <c r="D23" s="4" t="inlineStr">
        <is>
          <t>other</t>
        </is>
      </c>
      <c r="E23" s="4" t="inlineStr">
        <is>
          <t>2025-04</t>
        </is>
      </c>
      <c r="F23" s="4" t="inlineStr">
        <is>
          <t>Liverpool Range Stage 1 quarterly H2P access fee</t>
        </is>
      </c>
      <c r="G23" s="4" t="n">
        <v>1524456.88</v>
      </c>
      <c r="H23" s="4" t="inlineStr">
        <is>
          <t>AUD per quarter</t>
        </is>
      </c>
      <c r="I23" s="4" t="inlineStr">
        <is>
          <t>Indexed quarterly by the Fixed Indexation factor</t>
        </is>
      </c>
      <c r="J23" s="4" t="n"/>
      <c r="K23" s="4" t="n"/>
      <c r="L23" s="4" t="inlineStr">
        <is>
          <t>Consumer Trustee determination</t>
        </is>
      </c>
      <c r="M23" s="4" t="inlineStr">
        <is>
          <t>One point of connection (Liverpool Range Wind Farm Stage 1): quarterly hub-to-project fee payable by the access right holder to the Scheme Financial Vehicle over a 124-quarter payment term</t>
        </is>
      </c>
      <c r="N23" s="4" t="inlineStr">
        <is>
          <t>A fee stream, not capex; it mixes repayment, financing, amortisation and indexation and cannot be relabelled as observed H2P capital cost</t>
        </is>
      </c>
      <c r="O23" s="4" t="inlineStr">
        <is>
          <t>CWO-14</t>
        </is>
      </c>
      <c r="P23" s="4" t="inlineStr">
        <is>
          <t>5</t>
        </is>
      </c>
      <c r="Q23" s="4" t="inlineStr">
        <is>
          <t>H2P FeeQ $1,524,456.88 per Calendar Quarter</t>
        </is>
      </c>
      <c r="R23" s="4" t="inlineStr"/>
      <c r="S23" s="4" t="inlineStr">
        <is>
          <t>Project-specific H2P capex inputs are redacted. Payment term stated as 124 quarters at PDF page 6.</t>
        </is>
      </c>
    </row>
    <row r="24">
      <c r="A24" s="4" t="inlineStr">
        <is>
          <t>Central-West Orana Renewable Energy Zone</t>
        </is>
      </c>
      <c r="B24" s="4" t="inlineStr">
        <is>
          <t>CWO-PROJECT-MAIN</t>
        </is>
      </c>
      <c r="C24" s="4" t="inlineStr">
        <is>
          <t>CWO-AO-2025-CSS-FEE-LRS1</t>
        </is>
      </c>
      <c r="D24" s="4" t="inlineStr">
        <is>
          <t>other</t>
        </is>
      </c>
      <c r="E24" s="4" t="inlineStr">
        <is>
          <t>2025-04</t>
        </is>
      </c>
      <c r="F24" s="4" t="inlineStr">
        <is>
          <t>Liverpool Range Stage 1 quarterly centralised system strength fee rate</t>
        </is>
      </c>
      <c r="G24" s="4" t="n">
        <v>3090.84</v>
      </c>
      <c r="H24" s="4" t="inlineStr">
        <is>
          <t>AUD per MW per quarter</t>
        </is>
      </c>
      <c r="I24" s="4" t="inlineStr">
        <is>
          <t>Indexed quarterly by the Fixed Indexation factor</t>
        </is>
      </c>
      <c r="J24" s="4" t="n"/>
      <c r="K24" s="4" t="n"/>
      <c r="L24" s="4" t="inlineStr">
        <is>
          <t>Consumer Trustee determination</t>
        </is>
      </c>
      <c r="M24" s="4" t="inlineStr">
        <is>
          <t>One point of connection: CSS fee component applied per MW of maximum capacity in the access fee formula</t>
        </is>
      </c>
      <c r="N24" s="4" t="inlineStr">
        <is>
          <t>A per-MW recovery rate for generator-funded system strength; not additive with consumer-funded capital amounts</t>
        </is>
      </c>
      <c r="O24" s="4" t="inlineStr">
        <is>
          <t>CWO-14</t>
        </is>
      </c>
      <c r="P24" s="4" t="inlineStr">
        <is>
          <t>5</t>
        </is>
      </c>
      <c r="Q24" s="4" t="inlineStr">
        <is>
          <t>CSS FeeQ $3,090.84/MW</t>
        </is>
      </c>
      <c r="R24" s="4" t="inlineStr"/>
      <c r="S24" s="4" t="inlineStr">
        <is>
          <t>Formula: Access FeeQ=(((C&amp;E FeeQ+ Non C&amp;E FeeQ + CSS FeeQ ) x Maximum Capacity) + H2P FeeQ ) x Fixed Indexation (CWO-13, PDF p7).</t>
        </is>
      </c>
    </row>
    <row r="25">
      <c r="A25" s="4" t="inlineStr">
        <is>
          <t>Central-West Orana Renewable Energy Zone</t>
        </is>
      </c>
      <c r="B25" s="4" t="inlineStr">
        <is>
          <t>CWO-PROJECT-MAIN</t>
        </is>
      </c>
      <c r="C25" s="4" t="inlineStr">
        <is>
          <t>CWO-AO-2020-ISP-CAPACITY</t>
        </is>
      </c>
      <c r="D25" s="4" t="inlineStr">
        <is>
          <t>capacity</t>
        </is>
      </c>
      <c r="E25" s="4" t="inlineStr">
        <is>
          <t>2020-07</t>
        </is>
      </c>
      <c r="F25" s="4" t="inlineStr">
        <is>
          <t>2020 ISP additional REZ hosting capacity</t>
        </is>
      </c>
      <c r="G25" s="4" t="n">
        <v>3000</v>
      </c>
      <c r="H25" s="4" t="inlineStr">
        <is>
          <t>MW</t>
        </is>
      </c>
      <c r="I25" s="4" t="n"/>
      <c r="J25" s="4" t="n"/>
      <c r="K25" s="4" t="n"/>
      <c r="L25" s="4" t="inlineStr">
        <is>
          <t>ISP planner estimate</t>
        </is>
      </c>
      <c r="M25" s="4" t="inlineStr">
        <is>
          <t>Approximate network capability improvement for the Central-West Orana REZ Transmission Link candidate option</t>
        </is>
      </c>
      <c r="N25" s="4" t="inlineStr">
        <is>
          <t>Hosting capacity for a conceptual option; not the later declared, transfer or access-rights capacities</t>
        </is>
      </c>
      <c r="O25" s="4" t="inlineStr">
        <is>
          <t>CWO-01</t>
        </is>
      </c>
      <c r="P25" s="4" t="inlineStr">
        <is>
          <t>31</t>
        </is>
      </c>
      <c r="Q25" s="4" t="inlineStr">
        <is>
          <t>Additional REZ hosting capacity Central West NSW: +3,000 MW</t>
        </is>
      </c>
      <c r="R25" s="4" t="inlineStr"/>
      <c r="S25" s="4" t="inlineStr"/>
    </row>
    <row r="26">
      <c r="A26" s="4" t="inlineStr">
        <is>
          <t>Central-West Orana Renewable Energy Zone</t>
        </is>
      </c>
      <c r="B26" s="4" t="inlineStr">
        <is>
          <t>CWO-PROJECT-MAIN</t>
        </is>
      </c>
      <c r="C26" s="4" t="inlineStr">
        <is>
          <t>CWO-AO-2021-DECLARED-3GW</t>
        </is>
      </c>
      <c r="D26" s="4" t="inlineStr">
        <is>
          <t>capacity</t>
        </is>
      </c>
      <c r="E26" s="4" t="inlineStr">
        <is>
          <t>2021-11-05</t>
        </is>
      </c>
      <c r="F26" s="4" t="inlineStr">
        <is>
          <t>Declared intended network capacity at REZ declaration</t>
        </is>
      </c>
      <c r="G26" s="4" t="n">
        <v>3000</v>
      </c>
      <c r="H26" s="4" t="inlineStr">
        <is>
          <t>MW</t>
        </is>
      </c>
      <c r="I26" s="4" t="n"/>
      <c r="J26" s="4" t="n"/>
      <c r="K26" s="4" t="n"/>
      <c r="L26" s="4" t="inlineStr">
        <is>
          <t>ministerial declaration</t>
        </is>
      </c>
      <c r="M26" s="4" t="inlineStr">
        <is>
          <t>Intended network capacity for network infrastructure in the declared Central-West Orana renewable energy zone</t>
        </is>
      </c>
      <c r="N26" s="4" t="inlineStr">
        <is>
          <t>A statutory intention, superseded in December 2023; never a transfer or hosting measurement</t>
        </is>
      </c>
      <c r="O26" s="4" t="inlineStr">
        <is>
          <t>CWO-02</t>
        </is>
      </c>
      <c r="P26" s="4" t="inlineStr">
        <is>
          <t>3</t>
        </is>
      </c>
      <c r="Q26" s="4" t="inlineStr">
        <is>
          <t>energy zone is 3 gigawatts.</t>
        </is>
      </c>
      <c r="R26" s="4" t="inlineStr"/>
      <c r="S26" s="4" t="inlineStr"/>
    </row>
    <row r="27">
      <c r="A27" s="4" t="inlineStr">
        <is>
          <t>Central-West Orana Renewable Energy Zone</t>
        </is>
      </c>
      <c r="B27" s="4" t="inlineStr">
        <is>
          <t>CWO-PROJECT-MAIN</t>
        </is>
      </c>
      <c r="C27" s="4" t="inlineStr">
        <is>
          <t>CWO-AO-2023-DECLARED-6GW</t>
        </is>
      </c>
      <c r="D27" s="4" t="inlineStr">
        <is>
          <t>capacity</t>
        </is>
      </c>
      <c r="E27" s="4" t="inlineStr">
        <is>
          <t>2023-12-15</t>
        </is>
      </c>
      <c r="F27" s="4" t="inlineStr">
        <is>
          <t>Declared intended network capacity after the December 2023 amendment</t>
        </is>
      </c>
      <c r="G27" s="4" t="n">
        <v>6000</v>
      </c>
      <c r="H27" s="4" t="inlineStr">
        <is>
          <t>MW</t>
        </is>
      </c>
      <c r="I27" s="4" t="n"/>
      <c r="J27" s="4" t="n"/>
      <c r="K27" s="4" t="n"/>
      <c r="L27" s="4" t="inlineStr">
        <is>
          <t>ministerial declaration as reported by AEMO</t>
        </is>
      </c>
      <c r="M27" s="4" t="inlineStr">
        <is>
          <t>Intended network capacity for the CWO REZ as amended by Gazette No 580</t>
        </is>
      </c>
      <c r="N27" s="4" t="inlineStr">
        <is>
          <t>This is the declared intention, not deliverable capacity: the same sentence states an initial stage of 4,500 MW; the AER states capacity is planned to increase to 6 GW by 2038</t>
        </is>
      </c>
      <c r="O27" s="4" t="inlineStr">
        <is>
          <t>CWO-22</t>
        </is>
      </c>
      <c r="P27" s="4" t="inlineStr">
        <is>
          <t>22</t>
        </is>
      </c>
      <c r="Q27" s="4" t="inlineStr">
        <is>
          <t>Orana REZ has an intended 6,000 MW32 of additional network capacity, with an initial stage of 4,500 MW to be delivered</t>
        </is>
      </c>
      <c r="R27" s="4" t="inlineStr">
        <is>
          <t>selected</t>
        </is>
      </c>
      <c r="S27" s="4" t="inlineStr">
        <is>
          <t>Cited from CWO-22 (and corroborated by CWO-18 PDF p11 footnote 34 and CWO-21 PDF p7) because the archived Gazette CWO-06 text derivative renders the figure as 'J§ gigawatts'; see SOURCE_UNAVAILABLE warning.</t>
        </is>
      </c>
    </row>
    <row r="28">
      <c r="A28" s="4" t="inlineStr">
        <is>
          <t>Central-West Orana Renewable Energy Zone</t>
        </is>
      </c>
      <c r="B28" s="4" t="inlineStr">
        <is>
          <t>CWO-PROJECT-MAIN</t>
        </is>
      </c>
      <c r="C28" s="4" t="inlineStr">
        <is>
          <t>CWO-AO-2023-DELIVER-NOW-CAP</t>
        </is>
      </c>
      <c r="D28" s="4" t="inlineStr">
        <is>
          <t>capacity</t>
        </is>
      </c>
      <c r="E28" s="4" t="inlineStr">
        <is>
          <t>2023-05</t>
        </is>
      </c>
      <c r="F28" s="4" t="inlineStr">
        <is>
          <t>NIS Deliver Now capacity for CWO REZ</t>
        </is>
      </c>
      <c r="G28" s="4" t="n">
        <v>4500</v>
      </c>
      <c r="H28" s="4" t="inlineStr">
        <is>
          <t>MW</t>
        </is>
      </c>
      <c r="I28" s="4" t="n"/>
      <c r="J28" s="4" t="n"/>
      <c r="K28" s="4" t="n"/>
      <c r="L28" s="4" t="inlineStr">
        <is>
          <t>strategy option</t>
        </is>
      </c>
      <c r="M28" s="4" t="inlineStr">
        <is>
          <t>Additional network capacity delivered by Option 1A (Deliver Now) by 2027/2028</t>
        </is>
      </c>
      <c r="N28" s="4" t="inlineStr">
        <is>
          <t>Option-level capacity in the strategy; the same figure later becomes the authorised initial transfer capacity</t>
        </is>
      </c>
      <c r="O28" s="4" t="inlineStr">
        <is>
          <t>CWO-04</t>
        </is>
      </c>
      <c r="P28" s="4" t="inlineStr">
        <is>
          <t>31</t>
        </is>
      </c>
      <c r="Q28" s="4" t="inlineStr">
        <is>
          <t>• Deliver Now. 4.5 GW capacity by 2027/2028,</t>
        </is>
      </c>
      <c r="R28" s="4" t="inlineStr"/>
      <c r="S28" s="4" t="inlineStr"/>
    </row>
    <row r="29">
      <c r="A29" s="4" t="inlineStr">
        <is>
          <t>Central-West Orana Renewable Energy Zone</t>
        </is>
      </c>
      <c r="B29" s="4" t="inlineStr">
        <is>
          <t>CWO-PROJECT-MAIN</t>
        </is>
      </c>
      <c r="C29" s="4" t="inlineStr">
        <is>
          <t>CWO-AO-2023-SECURE-NOW-CAP</t>
        </is>
      </c>
      <c r="D29" s="4" t="inlineStr">
        <is>
          <t>capacity</t>
        </is>
      </c>
      <c r="E29" s="4" t="inlineStr">
        <is>
          <t>2023-05</t>
        </is>
      </c>
      <c r="F29" s="4" t="inlineStr">
        <is>
          <t>NIS Secure Now additional capacity for CWO REZ</t>
        </is>
      </c>
      <c r="G29" s="4" t="n">
        <v>2300</v>
      </c>
      <c r="H29" s="4" t="inlineStr">
        <is>
          <t>MW</t>
        </is>
      </c>
      <c r="I29" s="4" t="n"/>
      <c r="J29" s="4" t="n"/>
      <c r="K29" s="4" t="n"/>
      <c r="L29" s="4" t="inlineStr">
        <is>
          <t>strategy option</t>
        </is>
      </c>
      <c r="M29" s="4" t="inlineStr">
        <is>
          <t>Additional network capacity from Secure Now options by 2038</t>
        </is>
      </c>
      <c r="N29" s="4" t="inlineStr">
        <is>
          <t>A separate future option; not part of the authorised project</t>
        </is>
      </c>
      <c r="O29" s="4" t="inlineStr">
        <is>
          <t>CWO-04</t>
        </is>
      </c>
      <c r="P29" s="4" t="inlineStr">
        <is>
          <t>31</t>
        </is>
      </c>
      <c r="Q29" s="4" t="inlineStr">
        <is>
          <t>• Secure Now. An additional 2.3 GW</t>
        </is>
      </c>
      <c r="R29" s="4" t="inlineStr"/>
      <c r="S29" s="4" t="inlineStr"/>
    </row>
    <row r="30">
      <c r="A30" s="4" t="inlineStr">
        <is>
          <t>Central-West Orana Renewable Energy Zone</t>
        </is>
      </c>
      <c r="B30" s="4" t="inlineStr">
        <is>
          <t>CWO-PROJECT-MAIN</t>
        </is>
      </c>
      <c r="C30" s="4" t="inlineStr">
        <is>
          <t>CWO-AO-2023-PLAN-FUTURE-CAP</t>
        </is>
      </c>
      <c r="D30" s="4" t="inlineStr">
        <is>
          <t>capacity</t>
        </is>
      </c>
      <c r="E30" s="4" t="inlineStr">
        <is>
          <t>2023-05</t>
        </is>
      </c>
      <c r="F30" s="4" t="inlineStr">
        <is>
          <t>NIS Plan for the Future additional capacity for CWO REZ</t>
        </is>
      </c>
      <c r="G30" s="4" t="n">
        <v>3500</v>
      </c>
      <c r="H30" s="4" t="inlineStr">
        <is>
          <t>MW</t>
        </is>
      </c>
      <c r="I30" s="4" t="n"/>
      <c r="J30" s="4" t="n"/>
      <c r="K30" s="4" t="n"/>
      <c r="L30" s="4" t="inlineStr">
        <is>
          <t>strategy option</t>
        </is>
      </c>
      <c r="M30" s="4" t="inlineStr">
        <is>
          <t>Additional network capacity from Plan for the Future options, indicative delivery 2043</t>
        </is>
      </c>
      <c r="N30" s="4" t="inlineStr">
        <is>
          <t>A conditional long-run option; no authorisation or determination exists</t>
        </is>
      </c>
      <c r="O30" s="4" t="inlineStr">
        <is>
          <t>CWO-04</t>
        </is>
      </c>
      <c r="P30" s="4" t="inlineStr">
        <is>
          <t>12</t>
        </is>
      </c>
      <c r="Q30" s="4" t="inlineStr">
        <is>
          <t>• Central-West Orana REZ: add 3.5 GW of network</t>
        </is>
      </c>
      <c r="R30" s="4" t="inlineStr"/>
      <c r="S30" s="4" t="inlineStr"/>
    </row>
    <row r="31">
      <c r="A31" s="4" t="inlineStr">
        <is>
          <t>Central-West Orana Renewable Energy Zone</t>
        </is>
      </c>
      <c r="B31" s="4" t="inlineStr">
        <is>
          <t>CWO-PROJECT-MAIN</t>
        </is>
      </c>
      <c r="C31" s="4" t="inlineStr">
        <is>
          <t>CWO-AO-2025-TRANSFER-4500</t>
        </is>
      </c>
      <c r="D31" s="4" t="inlineStr">
        <is>
          <t>capacity</t>
        </is>
      </c>
      <c r="E31" s="4" t="inlineStr">
        <is>
          <t>2025-01-17</t>
        </is>
      </c>
      <c r="F31" s="4" t="inlineStr">
        <is>
          <t>Initial transfer capacity of the access rights network</t>
        </is>
      </c>
      <c r="G31" s="4" t="n">
        <v>4500</v>
      </c>
      <c r="H31" s="4" t="inlineStr">
        <is>
          <t>MW</t>
        </is>
      </c>
      <c r="I31" s="4" t="n"/>
      <c r="J31" s="4" t="n"/>
      <c r="K31" s="4" t="n"/>
      <c r="L31" s="4" t="inlineStr">
        <is>
          <t>infrastructure planner determination</t>
        </is>
      </c>
      <c r="M31" s="4" t="inlineStr">
        <is>
          <t>Transfer capacity of the CWO REZ access rights network as determined by EnergyCo; the Consumer Trustee authorised an initial transfer capacity of 4.5 GW at Barigan Creek</t>
        </is>
      </c>
      <c r="N31" s="4" t="inlineStr">
        <is>
          <t>Transfer capacity is a different measure from declared intended capacity, hosting capacity and awarded access rights</t>
        </is>
      </c>
      <c r="O31" s="4" t="inlineStr">
        <is>
          <t>CWO-17</t>
        </is>
      </c>
      <c r="P31" s="4" t="inlineStr">
        <is>
          <t>5</t>
        </is>
      </c>
      <c r="Q31" s="4" t="inlineStr">
        <is>
          <t>transfer capacity of the access rights network has been made  at 4.5 GW</t>
        </is>
      </c>
      <c r="R31" s="4" t="inlineStr"/>
      <c r="S31" s="4" t="inlineStr">
        <is>
          <t>The determination document itself (CWO-16) has no usable text derivative; the value is cited from the headroom decision that recites it, and matches CWO-10 PDF p2 and CWO-18 PDF p11.</t>
        </is>
      </c>
    </row>
    <row r="32">
      <c r="A32" s="4" t="inlineStr">
        <is>
          <t>Central-West Orana Renewable Energy Zone</t>
        </is>
      </c>
      <c r="B32" s="4" t="inlineStr">
        <is>
          <t>CWO-PROJECT-MAIN</t>
        </is>
      </c>
      <c r="C32" s="4" t="inlineStr">
        <is>
          <t>CWO-AO-2025-DELIVER-4500</t>
        </is>
      </c>
      <c r="D32" s="4" t="inlineStr">
        <is>
          <t>capacity</t>
        </is>
      </c>
      <c r="E32" s="4" t="inlineStr">
        <is>
          <t>2025-06</t>
        </is>
      </c>
      <c r="F32" s="4" t="inlineStr">
        <is>
          <t>AER remade determination initial network capacity</t>
        </is>
      </c>
      <c r="G32" s="4" t="n">
        <v>4500</v>
      </c>
      <c r="H32" s="4" t="inlineStr">
        <is>
          <t>MW</t>
        </is>
      </c>
      <c r="I32" s="4" t="n"/>
      <c r="J32" s="4" t="n"/>
      <c r="K32" s="4" t="n"/>
      <c r="L32" s="4" t="inlineStr">
        <is>
          <t>regulator determination</t>
        </is>
      </c>
      <c r="M32" s="4" t="inlineStr">
        <is>
          <t>Network capacity the Main project is designed to deliver initially, over the Wollar to Elong Elong corridor</t>
        </is>
      </c>
      <c r="N32" s="4" t="inlineStr">
        <is>
          <t>Deliverable initial capacity, simultaneous with (not contradicting) the 7.7 GW hosting figure</t>
        </is>
      </c>
      <c r="O32" s="4" t="inlineStr">
        <is>
          <t>CWO-18</t>
        </is>
      </c>
      <c r="P32" s="4" t="inlineStr">
        <is>
          <t>11</t>
        </is>
      </c>
      <c r="Q32" s="4" t="inlineStr">
        <is>
          <t>Wollar to Elong Elong via Merotherie. It is designed to initially deliver 4.5 GW of network</t>
        </is>
      </c>
      <c r="R32" s="4" t="inlineStr"/>
      <c r="S32" s="4" t="inlineStr">
        <is>
          <t>Footnote 36 states network capacity is planned to be increased to 6 GW by 2038.</t>
        </is>
      </c>
    </row>
    <row r="33">
      <c r="A33" s="4" t="inlineStr">
        <is>
          <t>Central-West Orana Renewable Energy Zone</t>
        </is>
      </c>
      <c r="B33" s="4" t="inlineStr">
        <is>
          <t>CWO-PROJECT-MAIN</t>
        </is>
      </c>
      <c r="C33" s="4" t="inlineStr">
        <is>
          <t>CWO-AO-2025-HOSTING-7700</t>
        </is>
      </c>
      <c r="D33" s="4" t="inlineStr">
        <is>
          <t>capacity</t>
        </is>
      </c>
      <c r="E33" s="4" t="inlineStr">
        <is>
          <t>2025-06</t>
        </is>
      </c>
      <c r="F33" s="4" t="inlineStr">
        <is>
          <t>Generation the Main project can support (hosting)</t>
        </is>
      </c>
      <c r="G33" s="4" t="n">
        <v>7700</v>
      </c>
      <c r="H33" s="4" t="inlineStr">
        <is>
          <t>MW</t>
        </is>
      </c>
      <c r="I33" s="4" t="n"/>
      <c r="J33" s="4" t="n"/>
      <c r="K33" s="4" t="n"/>
      <c r="L33" s="4" t="inlineStr">
        <is>
          <t>regulator determination</t>
        </is>
      </c>
      <c r="M33" s="4" t="inlineStr">
        <is>
          <t>Generation supported by the Main project network, as distinct from its transfer capacity</t>
        </is>
      </c>
      <c r="N33" s="4" t="inlineStr">
        <is>
          <t>Hosting capacity, not transfer capacity; the two coexist and must not be substituted for each other</t>
        </is>
      </c>
      <c r="O33" s="4" t="inlineStr">
        <is>
          <t>CWO-18</t>
        </is>
      </c>
      <c r="P33" s="4" t="inlineStr">
        <is>
          <t>11</t>
        </is>
      </c>
      <c r="Q33" s="4" t="inlineStr">
        <is>
          <t>capacity 36 and support up to 7.7 GW of generation.</t>
        </is>
      </c>
      <c r="R33" s="4" t="inlineStr"/>
      <c r="S33" s="4" t="inlineStr"/>
    </row>
    <row r="34">
      <c r="A34" s="4" t="inlineStr">
        <is>
          <t>Central-West Orana Renewable Energy Zone</t>
        </is>
      </c>
      <c r="B34" s="4" t="inlineStr">
        <is>
          <t>CWO-PROJECT-MAIN</t>
        </is>
      </c>
      <c r="C34" s="4" t="inlineStr">
        <is>
          <t>CWO-AO-2025-AGG-CAP-PREV</t>
        </is>
      </c>
      <c r="D34" s="4" t="inlineStr">
        <is>
          <t>capacity</t>
        </is>
      </c>
      <c r="E34" s="4" t="inlineStr">
        <is>
          <t>2025-01-16</t>
        </is>
      </c>
      <c r="F34" s="4" t="inlineStr">
        <is>
          <t>Previous aggregate maximum capacity cap</t>
        </is>
      </c>
      <c r="G34" s="4" t="n">
        <v>5840</v>
      </c>
      <c r="H34" s="4" t="inlineStr">
        <is>
          <t>MW</t>
        </is>
      </c>
      <c r="I34" s="4" t="n"/>
      <c r="J34" s="4" t="n"/>
      <c r="K34" s="4" t="n"/>
      <c r="L34" s="4" t="inlineStr">
        <is>
          <t>infrastructure planner final decision</t>
        </is>
      </c>
      <c r="M34" s="4" t="inlineStr">
        <is>
          <t>Initial limit on maximum capacity allocable under access rights in the CWO REZ access scheme, set when intended capacity was 3 GW</t>
        </is>
      </c>
      <c r="N34" s="4" t="inlineStr">
        <is>
          <t>An access-scheme cap, not a network transfer capacity</t>
        </is>
      </c>
      <c r="O34" s="4" t="inlineStr">
        <is>
          <t>CWO-17</t>
        </is>
      </c>
      <c r="P34" s="4" t="inlineStr">
        <is>
          <t>4</t>
        </is>
      </c>
      <c r="Q34" s="4" t="inlineStr">
        <is>
          <t>• Previous aggregate maximum capacity cap: 5.84 GW</t>
        </is>
      </c>
      <c r="R34" s="4" t="inlineStr"/>
      <c r="S34" s="4" t="inlineStr"/>
    </row>
    <row r="35">
      <c r="A35" s="4" t="inlineStr">
        <is>
          <t>Central-West Orana Renewable Energy Zone</t>
        </is>
      </c>
      <c r="B35" s="4" t="inlineStr">
        <is>
          <t>CWO-PROJECT-MAIN</t>
        </is>
      </c>
      <c r="C35" s="4" t="inlineStr">
        <is>
          <t>CWO-AO-2025-AGG-CAP-NEW</t>
        </is>
      </c>
      <c r="D35" s="4" t="inlineStr">
        <is>
          <t>capacity</t>
        </is>
      </c>
      <c r="E35" s="4" t="inlineStr">
        <is>
          <t>2025-01-16</t>
        </is>
      </c>
      <c r="F35" s="4" t="inlineStr">
        <is>
          <t>New aggregate maximum capacity cap after the headroom decision</t>
        </is>
      </c>
      <c r="G35" s="4" t="n">
        <v>7700</v>
      </c>
      <c r="H35" s="4" t="inlineStr">
        <is>
          <t>MW</t>
        </is>
      </c>
      <c r="I35" s="4" t="n"/>
      <c r="J35" s="4" t="n"/>
      <c r="K35" s="4" t="n"/>
      <c r="L35" s="4" t="inlineStr">
        <is>
          <t>infrastructure planner final decision</t>
        </is>
      </c>
      <c r="M35" s="4" t="inlineStr">
        <is>
          <t>Aggregate maximum capacity allocable under access rights after 1.86 GW of headroom, at a 4.37% total transmission curtailment level</t>
        </is>
      </c>
      <c r="N35" s="4" t="inlineStr">
        <is>
          <t>Equal in number to the AER hosting figure but a different concept (access-scheme cap versus supported generation)</t>
        </is>
      </c>
      <c r="O35" s="4" t="inlineStr">
        <is>
          <t>CWO-17</t>
        </is>
      </c>
      <c r="P35" s="4" t="inlineStr">
        <is>
          <t>4</t>
        </is>
      </c>
      <c r="Q35" s="4" t="inlineStr">
        <is>
          <t>• New aggregate maximum capacity cap: 7.7 GW</t>
        </is>
      </c>
      <c r="R35" s="4" t="inlineStr"/>
      <c r="S35" s="4" t="inlineStr"/>
    </row>
    <row r="36">
      <c r="A36" s="4" t="inlineStr">
        <is>
          <t>Central-West Orana Renewable Energy Zone</t>
        </is>
      </c>
      <c r="B36" s="4" t="inlineStr">
        <is>
          <t>CWO-PROJECT-MAIN</t>
        </is>
      </c>
      <c r="C36" s="4" t="inlineStr">
        <is>
          <t>CWO-AO-2026-ACCESS-AWARDED-7150</t>
        </is>
      </c>
      <c r="D36" s="4" t="inlineStr">
        <is>
          <t>capacity</t>
        </is>
      </c>
      <c r="E36" s="4" t="inlineStr">
        <is>
          <t>2026-06</t>
        </is>
      </c>
      <c r="F36" s="4" t="inlineStr">
        <is>
          <t>Access rights awarded (2026 ISP, committed project section)</t>
        </is>
      </c>
      <c r="G36" s="4" t="n">
        <v>7150</v>
      </c>
      <c r="H36" s="4" t="inlineStr">
        <is>
          <t>MW</t>
        </is>
      </c>
      <c r="I36" s="4" t="n"/>
      <c r="J36" s="4" t="n"/>
      <c r="K36" s="4" t="n"/>
      <c r="L36" s="4" t="inlineStr">
        <is>
          <t>planner report</t>
        </is>
      </c>
      <c r="M36" s="4" t="inlineStr">
        <is>
          <t>Generation and storage projects awarded access rights by EnergyCo under the CWO access rights scheme</t>
        </is>
      </c>
      <c r="N36" s="4" t="inlineStr">
        <is>
          <t>Allocated access rights, not network capacity; contradicted by the same document's expansion section</t>
        </is>
      </c>
      <c r="O36" s="4" t="inlineStr">
        <is>
          <t>CWO-22</t>
        </is>
      </c>
      <c r="P36" s="4" t="inlineStr">
        <is>
          <t>22</t>
        </is>
      </c>
      <c r="Q36" s="4" t="inlineStr">
        <is>
          <t>begun in June 202534 towards energisation in 2028. EnergyCo have awarded 7.15 GW of generation and storage projects</t>
        </is>
      </c>
      <c r="R36" s="4" t="inlineStr"/>
      <c r="S36" s="4" t="inlineStr">
        <is>
          <t>Same sentence gives 7.7 GW as the current aggregate maximum capacity.</t>
        </is>
      </c>
    </row>
    <row r="37">
      <c r="A37" s="4" t="inlineStr">
        <is>
          <t>Central-West Orana Renewable Energy Zone</t>
        </is>
      </c>
      <c r="B37" s="4" t="inlineStr">
        <is>
          <t>CWO-PROJECT-MAIN</t>
        </is>
      </c>
      <c r="C37" s="4" t="inlineStr">
        <is>
          <t>CWO-AO-2026-ACCESS-AWARDED-7700</t>
        </is>
      </c>
      <c r="D37" s="4" t="inlineStr">
        <is>
          <t>capacity</t>
        </is>
      </c>
      <c r="E37" s="4" t="inlineStr">
        <is>
          <t>2026-06</t>
        </is>
      </c>
      <c r="F37" s="4" t="inlineStr">
        <is>
          <t>Access rights awarded (2026 ISP, expansion section)</t>
        </is>
      </c>
      <c r="G37" s="4" t="n">
        <v>7700</v>
      </c>
      <c r="H37" s="4" t="inlineStr">
        <is>
          <t>MW</t>
        </is>
      </c>
      <c r="I37" s="4" t="n"/>
      <c r="J37" s="4" t="n"/>
      <c r="K37" s="4" t="n"/>
      <c r="L37" s="4" t="inlineStr">
        <is>
          <t>planner report</t>
        </is>
      </c>
      <c r="M37" s="4" t="inlineStr">
        <is>
          <t>Generation and storage projects awarded access rights by EnergyCo under the CWO access rights scheme</t>
        </is>
      </c>
      <c r="N37" s="4" t="inlineStr">
        <is>
          <t>Directly contradicts the 7.15 GW figure at PDF p22 of the same document; retained unresolved</t>
        </is>
      </c>
      <c r="O37" s="4" t="inlineStr">
        <is>
          <t>CWO-22</t>
        </is>
      </c>
      <c r="P37" s="4" t="inlineStr">
        <is>
          <t>56</t>
        </is>
      </c>
      <c r="Q37" s="4" t="inlineStr">
        <is>
          <t>EnergyCo has awarded 7.7 GW of generation and storage projects under its access rights scheme112.</t>
        </is>
      </c>
      <c r="R37" s="4" t="inlineStr"/>
      <c r="S37" s="4" t="inlineStr"/>
    </row>
    <row r="38">
      <c r="A38" s="4" t="inlineStr">
        <is>
          <t>Central-West Orana Renewable Energy Zone</t>
        </is>
      </c>
      <c r="B38" s="4" t="inlineStr">
        <is>
          <t>CWO-PROJECT-MAIN</t>
        </is>
      </c>
      <c r="C38" s="4" t="inlineStr">
        <is>
          <t>CWO-AO-2026-EXPANSION-CAP</t>
        </is>
      </c>
      <c r="D38" s="4" t="inlineStr">
        <is>
          <t>capacity</t>
        </is>
      </c>
      <c r="E38" s="4" t="inlineStr">
        <is>
          <t>2026-06</t>
        </is>
      </c>
      <c r="F38" s="4" t="inlineStr">
        <is>
          <t>Additional network capacity from the CWO REZ Expansion</t>
        </is>
      </c>
      <c r="G38" s="4" t="n">
        <v>1500</v>
      </c>
      <c r="H38" s="4" t="inlineStr">
        <is>
          <t>MW</t>
        </is>
      </c>
      <c r="I38" s="4" t="n"/>
      <c r="J38" s="4" t="n"/>
      <c r="K38" s="4" t="n"/>
      <c r="L38" s="4" t="inlineStr">
        <is>
          <t>actionable New South Wales project</t>
        </is>
      </c>
      <c r="M38" s="4" t="inlineStr">
        <is>
          <t>Additional network capacity of N3 Option 1 (CWO REZ Expansion), prerequisite being the committed Main project</t>
        </is>
      </c>
      <c r="N38" s="4" t="inlineStr">
        <is>
          <t>Future capacity conditional on a separate NSW authorisation and determination; not yet delivered capacity</t>
        </is>
      </c>
      <c r="O38" s="4" t="inlineStr">
        <is>
          <t>CWO-22</t>
        </is>
      </c>
      <c r="P38" s="4" t="inlineStr">
        <is>
          <t>57</t>
        </is>
      </c>
      <c r="Q38" s="4" t="inlineStr">
        <is>
          <t>1,500 855</t>
        </is>
      </c>
      <c r="R38" s="4" t="inlineStr"/>
      <c r="S38" s="4" t="inlineStr"/>
    </row>
    <row r="39">
      <c r="A39" s="4" t="inlineStr">
        <is>
          <t>Central-West Orana Renewable Energy Zone</t>
        </is>
      </c>
      <c r="B39" s="4" t="inlineStr">
        <is>
          <t>CWO-PROJECT-MAIN</t>
        </is>
      </c>
      <c r="C39" s="4" t="inlineStr">
        <is>
          <t>CWO-AO-2026-EXISTING-CAP</t>
        </is>
      </c>
      <c r="D39" s="4" t="inlineStr">
        <is>
          <t>capacity</t>
        </is>
      </c>
      <c r="E39" s="4" t="inlineStr">
        <is>
          <t>2026-06</t>
        </is>
      </c>
      <c r="F39" s="4" t="inlineStr">
        <is>
          <t>Existing network capability before the project</t>
        </is>
      </c>
      <c r="G39" s="4" t="n">
        <v>900</v>
      </c>
      <c r="H39" s="4" t="inlineStr">
        <is>
          <t>MW</t>
        </is>
      </c>
      <c r="I39" s="4" t="n"/>
      <c r="J39" s="4" t="n"/>
      <c r="K39" s="4" t="n"/>
      <c r="L39" s="4" t="inlineStr">
        <is>
          <t>planner report</t>
        </is>
      </c>
      <c r="M39" s="4" t="inlineStr">
        <is>
          <t>Existing network capability of the CWO REZ area, to be increased by 4,500 MW once the REZ is established</t>
        </is>
      </c>
      <c r="N39" s="4" t="inlineStr">
        <is>
          <t>Baseline capability; not additive with declared or access capacities</t>
        </is>
      </c>
      <c r="O39" s="4" t="inlineStr">
        <is>
          <t>CWO-22</t>
        </is>
      </c>
      <c r="P39" s="4" t="inlineStr">
        <is>
          <t>22</t>
        </is>
      </c>
      <c r="Q39" s="4" t="inlineStr">
        <is>
          <t>approximately 900 MW, which will increase by 4,500 MW once Central-West Orana REZ is established.</t>
        </is>
      </c>
      <c r="R39" s="4" t="inlineStr"/>
      <c r="S39" s="4" t="inlineStr"/>
    </row>
    <row r="40">
      <c r="A40" s="4" t="inlineStr">
        <is>
          <t>Central-West Orana Renewable Energy Zone</t>
        </is>
      </c>
      <c r="B40" s="4" t="inlineStr">
        <is>
          <t>CWO-PROJECT-MAIN</t>
        </is>
      </c>
      <c r="C40" s="4" t="inlineStr">
        <is>
          <t>CWO-AO-2025-TRUNK-90KM</t>
        </is>
      </c>
      <c r="D40" s="4" t="inlineStr">
        <is>
          <t>trunk_km</t>
        </is>
      </c>
      <c r="E40" s="4" t="inlineStr">
        <is>
          <t>2025-06</t>
        </is>
      </c>
      <c r="F40" s="4" t="inlineStr">
        <is>
          <t>Main core transmission line corridor length</t>
        </is>
      </c>
      <c r="G40" s="4" t="n">
        <v>90</v>
      </c>
      <c r="H40" s="4" t="inlineStr">
        <is>
          <t>km</t>
        </is>
      </c>
      <c r="I40" s="4" t="n"/>
      <c r="J40" s="4" t="n"/>
      <c r="K40" s="4" t="n"/>
      <c r="L40" s="4" t="inlineStr">
        <is>
          <t>regulator determination</t>
        </is>
      </c>
      <c r="M40" s="4" t="inlineStr">
        <is>
          <t>Core infrastructure of the Main project only: corridor between Wollar and Elong Elong, with Barigan Creek switching station and energy hubs at Elong Elong and Merotherie</t>
        </is>
      </c>
      <c r="N40" s="4" t="inlineStr">
        <is>
          <t>Covers the Main core corridor only; it excludes the Enabling 330 kV lines and the future Expansion works whose costs are in the chart's cost cell</t>
        </is>
      </c>
      <c r="O40" s="4" t="inlineStr">
        <is>
          <t>CWO-18</t>
        </is>
      </c>
      <c r="P40" s="4" t="inlineStr">
        <is>
          <t>11</t>
        </is>
      </c>
      <c r="Q40" s="4" t="inlineStr">
        <is>
          <t>• Core infrastructure: Comprising a 90 km transmission line corridor between Wollar and</t>
        </is>
      </c>
      <c r="R40" s="4" t="inlineStr">
        <is>
          <t>selected</t>
        </is>
      </c>
      <c r="S40" s="4" t="inlineStr">
        <is>
          <t>The author cited the ASL statement of reasons (not archived) for this value; the AER states it directly.</t>
        </is>
      </c>
    </row>
    <row r="41">
      <c r="A41" s="4" t="inlineStr">
        <is>
          <t>Central-West Orana Renewable Energy Zone</t>
        </is>
      </c>
      <c r="B41" s="4" t="inlineStr">
        <is>
          <t>CWO-PROJECT-MAIN</t>
        </is>
      </c>
      <c r="C41" s="4" t="inlineStr">
        <is>
          <t>CWO-AO-2025-H2P-150KM</t>
        </is>
      </c>
      <c r="D41" s="4" t="inlineStr">
        <is>
          <t>feeder_km</t>
        </is>
      </c>
      <c r="E41" s="4" t="inlineStr">
        <is>
          <t>2025-06</t>
        </is>
      </c>
      <c r="F41" s="4" t="inlineStr">
        <is>
          <t>Hub to project (H2P) network corridor length</t>
        </is>
      </c>
      <c r="G41" s="4" t="n">
        <v>150</v>
      </c>
      <c r="H41" s="4" t="inlineStr">
        <is>
          <t>km</t>
        </is>
      </c>
      <c r="I41" s="4" t="n"/>
      <c r="J41" s="4" t="n"/>
      <c r="K41" s="4" t="n"/>
      <c r="L41" s="4" t="inlineStr">
        <is>
          <t>regulator determination</t>
        </is>
      </c>
      <c r="M41" s="4" t="inlineStr">
        <is>
          <t>330 kV network of assets extending from the Merotherie and Elong Elong energy hubs to generator connection points</t>
        </is>
      </c>
      <c r="N41" s="4" t="inlineStr">
        <is>
          <t>Stated as 'around 150 km'; the H2P network is generator-funded through access fees and includes conditional separable portions, five of which were excluded</t>
        </is>
      </c>
      <c r="O41" s="4" t="inlineStr">
        <is>
          <t>CWO-18</t>
        </is>
      </c>
      <c r="P41" s="4" t="inlineStr">
        <is>
          <t>11</t>
        </is>
      </c>
      <c r="Q41" s="4" t="inlineStr">
        <is>
          <t>cover a corridor of around 150 km.</t>
        </is>
      </c>
      <c r="R41" s="4" t="inlineStr"/>
      <c r="S41" s="4" t="inlineStr">
        <is>
          <t>The author cited the ACEREZ website (not archived) for the feeder length; the AER states it directly.</t>
        </is>
      </c>
    </row>
    <row r="42">
      <c r="A42" s="4" t="inlineStr">
        <is>
          <t>Central-West Orana Renewable Energy Zone</t>
        </is>
      </c>
      <c r="B42" s="4" t="inlineStr">
        <is>
          <t>CWO-PROJECT-MAIN</t>
        </is>
      </c>
      <c r="C42" s="4" t="inlineStr">
        <is>
          <t>CWO-AO-2025-LINES-2</t>
        </is>
      </c>
      <c r="D42" s="4" t="inlineStr">
        <is>
          <t>lines</t>
        </is>
      </c>
      <c r="E42" s="4" t="inlineStr">
        <is>
          <t>2025-06</t>
        </is>
      </c>
      <c r="F42" s="4" t="inlineStr">
        <is>
          <t>Number of transmission lines on the Main core corridor</t>
        </is>
      </c>
      <c r="G42" s="4" t="n">
        <v>2</v>
      </c>
      <c r="H42" s="4" t="inlineStr">
        <is>
          <t>count</t>
        </is>
      </c>
      <c r="I42" s="4" t="n"/>
      <c r="J42" s="4" t="n"/>
      <c r="K42" s="4" t="n"/>
      <c r="L42" s="4" t="inlineStr">
        <is>
          <t>regulator determination</t>
        </is>
      </c>
      <c r="M42" s="4" t="inlineStr">
        <is>
          <t>Main core corridor Wollar to Elong Elong: the transmission lines are two double circuit 500 kV lines, initially operated at 330 kV between Merotherie and Elong Elong</t>
        </is>
      </c>
      <c r="N42" s="4" t="inlineStr">
        <is>
          <t>Counts double-circuit line structures, not circuits; the authorisation describes two 500 kV double circuit lines on each of the Barigan Creek-Merotherie and Merotherie-Elong Elong sections</t>
        </is>
      </c>
      <c r="O42" s="4" t="inlineStr">
        <is>
          <t>CWO-18</t>
        </is>
      </c>
      <c r="P42" s="4" t="inlineStr">
        <is>
          <t>11</t>
        </is>
      </c>
      <c r="Q42" s="4" t="inlineStr">
        <is>
          <t>Elong and Merotherie. The transmission lines will be two double circuit 500 kilovolt (kV)</t>
        </is>
      </c>
      <c r="R42" s="4" t="inlineStr">
        <is>
          <t>selected</t>
        </is>
      </c>
      <c r="S42" s="4" t="inlineStr"/>
    </row>
    <row r="43">
      <c r="A43" s="4" t="inlineStr">
        <is>
          <t>Central-West Orana Renewable Energy Zone</t>
        </is>
      </c>
      <c r="B43" s="4" t="inlineStr">
        <is>
          <t>CWO-PROJECT-MAIN</t>
        </is>
      </c>
      <c r="C43" s="4" t="inlineStr">
        <is>
          <t>CWO-AO-2024-AUTH-DC-LINES</t>
        </is>
      </c>
      <c r="D43" s="4" t="inlineStr">
        <is>
          <t>lines</t>
        </is>
      </c>
      <c r="E43" s="4" t="inlineStr">
        <is>
          <t>2024-06-04</t>
        </is>
      </c>
      <c r="F43" s="4" t="inlineStr">
        <is>
          <t>Authorised double circuit lines per corridor section</t>
        </is>
      </c>
      <c r="G43" s="4" t="n">
        <v>2</v>
      </c>
      <c r="H43" s="4" t="inlineStr">
        <is>
          <t>count</t>
        </is>
      </c>
      <c r="I43" s="4" t="n"/>
      <c r="J43" s="4" t="n"/>
      <c r="K43" s="4" t="n"/>
      <c r="L43" s="4" t="inlineStr">
        <is>
          <t>Consumer Trustee authorisation</t>
        </is>
      </c>
      <c r="M43" s="4" t="inlineStr">
        <is>
          <t>Authorised Main project: the transmission line from Barigan Creek switching station to the Merotherie Energy Hub, and the line from Merotherie to Elong Elong, each comprising two 500 kV double circuit lines</t>
        </is>
      </c>
      <c r="N43" s="4" t="inlineStr">
        <is>
          <t>The authorisation states the composition per section; no archived source states a total circuit count</t>
        </is>
      </c>
      <c r="O43" s="4" t="inlineStr">
        <is>
          <t>CWO-10</t>
        </is>
      </c>
      <c r="P43" s="4" t="inlineStr">
        <is>
          <t>2</t>
        </is>
      </c>
      <c r="Q43" s="4" t="inlineStr">
        <is>
          <t>comprising two 500 kV double circuit lines,</t>
        </is>
      </c>
      <c r="R43" s="4" t="inlineStr"/>
      <c r="S43" s="4" t="inlineStr"/>
    </row>
    <row r="44">
      <c r="A44" s="4" t="inlineStr">
        <is>
          <t>Central-West Orana Renewable Energy Zone</t>
        </is>
      </c>
      <c r="B44" s="4" t="inlineStr">
        <is>
          <t>CWO-PROJECT-MAIN</t>
        </is>
      </c>
      <c r="C44" s="4" t="inlineStr">
        <is>
          <t>CWO-AO-2024-SYNCONS-AUTH</t>
        </is>
      </c>
      <c r="D44" s="4" t="inlineStr">
        <is>
          <t>syncons_mva</t>
        </is>
      </c>
      <c r="E44" s="4" t="inlineStr">
        <is>
          <t>2024-06-04</t>
        </is>
      </c>
      <c r="F44" s="4" t="inlineStr">
        <is>
          <t>Authorised system strength nameplate rating</t>
        </is>
      </c>
      <c r="G44" s="4" t="n">
        <v>1750</v>
      </c>
      <c r="H44" s="4" t="inlineStr">
        <is>
          <t>MVA</t>
        </is>
      </c>
      <c r="I44" s="4" t="n"/>
      <c r="J44" s="4" t="n"/>
      <c r="K44" s="4" t="n"/>
      <c r="L44" s="4" t="inlineStr">
        <is>
          <t>Consumer Trustee authorisation</t>
        </is>
      </c>
      <c r="M44" s="4" t="inlineStr">
        <is>
          <t>System strength infrastructure at the energy hubs comprising synchronous condensers, as authorised for the Main project (generator-funded through access fees)</t>
        </is>
      </c>
      <c r="N44" s="4" t="inlineStr">
        <is>
          <t>Stated as 'up to' in the authorisation; the AER later records seven 250 MVA units delivering the total specified</t>
        </is>
      </c>
      <c r="O44" s="4" t="inlineStr">
        <is>
          <t>CWO-10</t>
        </is>
      </c>
      <c r="P44" s="4" t="inlineStr">
        <is>
          <t>2</t>
        </is>
      </c>
      <c r="Q44" s="4" t="inlineStr">
        <is>
          <t>nameplate rating of up to 1,750 MVA;</t>
        </is>
      </c>
      <c r="R44" s="4" t="inlineStr">
        <is>
          <t>selected</t>
        </is>
      </c>
      <c r="S44" s="4" t="inlineStr"/>
    </row>
    <row r="45">
      <c r="A45" s="4" t="inlineStr">
        <is>
          <t>Central-West Orana Renewable Energy Zone</t>
        </is>
      </c>
      <c r="B45" s="4" t="inlineStr">
        <is>
          <t>CWO-PROJECT-MAIN</t>
        </is>
      </c>
      <c r="C45" s="4" t="inlineStr">
        <is>
          <t>CWO-AO-2025-SYNCON-UNITS</t>
        </is>
      </c>
      <c r="D45" s="4" t="inlineStr">
        <is>
          <t>other</t>
        </is>
      </c>
      <c r="E45" s="4" t="inlineStr">
        <is>
          <t>2025-06</t>
        </is>
      </c>
      <c r="F45" s="4" t="inlineStr">
        <is>
          <t>Synchronous condenser units to be installed</t>
        </is>
      </c>
      <c r="G45" s="4" t="n">
        <v>7</v>
      </c>
      <c r="H45" s="4" t="inlineStr">
        <is>
          <t>count</t>
        </is>
      </c>
      <c r="I45" s="4" t="n"/>
      <c r="J45" s="4" t="n"/>
      <c r="K45" s="4" t="n"/>
      <c r="L45" s="4" t="inlineStr">
        <is>
          <t>regulator determination</t>
        </is>
      </c>
      <c r="M45" s="4" t="inlineStr">
        <is>
          <t>Seven 250 MVA units: 4 at the Merotherie Energy Hub and 3 at the Elong Elong Energy Hub</t>
        </is>
      </c>
      <c r="N45" s="4" t="inlineStr">
        <is>
          <t>Unit count and rating are stated; the 1,750 MVA total is stated separately in the authorisation and in EnergyCo's recommendation</t>
        </is>
      </c>
      <c r="O45" s="4" t="inlineStr">
        <is>
          <t>CWO-18</t>
        </is>
      </c>
      <c r="P45" s="4" t="inlineStr">
        <is>
          <t>15</t>
        </is>
      </c>
      <c r="Q45" s="4" t="inlineStr">
        <is>
          <t>Seven 250 MVA synchronous condenser</t>
        </is>
      </c>
      <c r="R45" s="4" t="inlineStr"/>
      <c r="S45" s="4" t="inlineStr">
        <is>
          <t>EnergyCo's 2024 recommendation states 'a system strength solution for an installed 1,750 MVA' (CWO-09, PDF p10).</t>
        </is>
      </c>
    </row>
    <row r="46">
      <c r="A46" s="4" t="inlineStr">
        <is>
          <t>Central-West Orana Renewable Energy Zone</t>
        </is>
      </c>
      <c r="B46" s="4" t="inlineStr">
        <is>
          <t>CWO-PROJECT-MAIN</t>
        </is>
      </c>
      <c r="C46" s="4" t="inlineStr">
        <is>
          <t>CWO-AO-2024-SYNCONS-IPR</t>
        </is>
      </c>
      <c r="D46" s="4" t="inlineStr">
        <is>
          <t>syncons_mva</t>
        </is>
      </c>
      <c r="E46" s="4" t="inlineStr">
        <is>
          <t>2024-05-22</t>
        </is>
      </c>
      <c r="F46" s="4" t="inlineStr">
        <is>
          <t>System strength solution installed rating in the recommendation</t>
        </is>
      </c>
      <c r="G46" s="4" t="n">
        <v>1750</v>
      </c>
      <c r="H46" s="4" t="inlineStr">
        <is>
          <t>MVA</t>
        </is>
      </c>
      <c r="I46" s="4" t="n"/>
      <c r="J46" s="4" t="n"/>
      <c r="K46" s="4" t="n"/>
      <c r="L46" s="4" t="inlineStr">
        <is>
          <t>infrastructure planner recommendation</t>
        </is>
      </c>
      <c r="M46" s="4" t="inlineStr">
        <is>
          <t>System strength infrastructure within the Main RNIP physical scope, to be funded by generation and storage projects rather than consumers</t>
        </is>
      </c>
      <c r="N46" s="4" t="inlineStr">
        <is>
          <t>Same physical rating as the authorisation, but expressly outside the $5.45 billion consumer-funded cost boundary</t>
        </is>
      </c>
      <c r="O46" s="4" t="inlineStr">
        <is>
          <t>CWO-09</t>
        </is>
      </c>
      <c r="P46" s="4" t="inlineStr">
        <is>
          <t>10</t>
        </is>
      </c>
      <c r="Q46" s="4" t="inlineStr">
        <is>
          <t>System strength infrastructure, which includes a system strength solution for an installed 1,750</t>
        </is>
      </c>
      <c r="R46" s="4" t="inlineStr"/>
      <c r="S46" s="4" t="inlineStr"/>
    </row>
    <row r="47">
      <c r="A47" s="4" t="inlineStr">
        <is>
          <t>Central-West Orana Renewable Energy Zone</t>
        </is>
      </c>
      <c r="B47" s="4" t="inlineStr">
        <is>
          <t>CWO-PROJECT-MAIN</t>
        </is>
      </c>
      <c r="C47" s="4" t="inlineStr">
        <is>
          <t>CWO-AO-2025-HUBS-2</t>
        </is>
      </c>
      <c r="D47" s="4" t="inlineStr">
        <is>
          <t>hubs</t>
        </is>
      </c>
      <c r="E47" s="4" t="inlineStr">
        <is>
          <t>2025-06</t>
        </is>
      </c>
      <c r="F47" s="4" t="inlineStr">
        <is>
          <t>Energy hubs in the Main project</t>
        </is>
      </c>
      <c r="G47" s="4" t="n">
        <v>2</v>
      </c>
      <c r="H47" s="4" t="inlineStr">
        <is>
          <t>count</t>
        </is>
      </c>
      <c r="I47" s="4" t="n"/>
      <c r="J47" s="4" t="n"/>
      <c r="K47" s="4" t="n"/>
      <c r="L47" s="4" t="inlineStr">
        <is>
          <t>regulator determination</t>
        </is>
      </c>
      <c r="M47" s="4" t="inlineStr">
        <is>
          <t>Energy hubs named by the AER for the Main project: Merotherie and Elong Elong (Barigan Creek is a switching station, not an energy hub)</t>
        </is>
      </c>
      <c r="N47" s="4" t="inlineStr">
        <is>
          <t>Archived sources name energy hubs rather than counting 'hubs'; the chart's count of 3 adds Merotherie-B from the future Expansion</t>
        </is>
      </c>
      <c r="O47" s="4" t="inlineStr">
        <is>
          <t>CWO-18</t>
        </is>
      </c>
      <c r="P47" s="4" t="inlineStr">
        <is>
          <t>11</t>
        </is>
      </c>
      <c r="Q47" s="4" t="inlineStr">
        <is>
          <t>• Core infrastructure: Comprising a 90 km transmission line corridor between Wollar and</t>
        </is>
      </c>
      <c r="R47" s="4" t="inlineStr">
        <is>
          <t>selected</t>
        </is>
      </c>
      <c r="S47" s="4" t="inlineStr">
        <is>
          <t>Excerpt line continues: 'Elong Elong, with a new switching station at Barigan Creek and energy hubs at Elong Elong and Merotherie.' The authorisation (CWO-10 PDF p2) names the Merotherie Energy Hub and Elong Elong Energy Hub.</t>
        </is>
      </c>
    </row>
    <row r="48">
      <c r="A48" s="4" t="inlineStr">
        <is>
          <t>Central-West Orana Renewable Energy Zone</t>
        </is>
      </c>
      <c r="B48" s="4" t="inlineStr">
        <is>
          <t>CWO-PROJECT-MAIN</t>
        </is>
      </c>
      <c r="C48" s="4" t="inlineStr">
        <is>
          <t>CWO-AO-2026-TX-MEROTHERIE-A</t>
        </is>
      </c>
      <c r="D48" s="4" t="inlineStr">
        <is>
          <t>transformers_mva</t>
        </is>
      </c>
      <c r="E48" s="4" t="inlineStr">
        <is>
          <t>2026-06</t>
        </is>
      </c>
      <c r="F48" s="4" t="inlineStr">
        <is>
          <t>Merotherie substation transformer unit rating (committed project)</t>
        </is>
      </c>
      <c r="G48" s="4" t="n">
        <v>1500</v>
      </c>
      <c r="H48" s="4" t="inlineStr">
        <is>
          <t>MVA</t>
        </is>
      </c>
      <c r="I48" s="4" t="n"/>
      <c r="J48" s="4" t="n"/>
      <c r="K48" s="4" t="n"/>
      <c r="L48" s="4" t="inlineStr">
        <is>
          <t>planner scope description</t>
        </is>
      </c>
      <c r="M48" s="4" t="inlineStr">
        <is>
          <t>New Merotherie 500/330 kV substation in the committed Main project, with 4 x 500/330/33 kV 1,500 MVA transformers</t>
        </is>
      </c>
      <c r="N48" s="4" t="inlineStr">
        <is>
          <t>The source states a unit rating and a unit count; it does not state an installed MVA total</t>
        </is>
      </c>
      <c r="O48" s="4" t="inlineStr">
        <is>
          <t>CWO-22</t>
        </is>
      </c>
      <c r="P48" s="4" t="inlineStr">
        <is>
          <t>23</t>
        </is>
      </c>
      <c r="Q48" s="4" t="inlineStr">
        <is>
          <t>• New Merotherie 500/330 kV substation with 4 x 500/330/33 kV 1,500 MVA</t>
        </is>
      </c>
      <c r="R48" s="4" t="inlineStr"/>
      <c r="S48" s="4" t="inlineStr"/>
    </row>
    <row r="49">
      <c r="A49" s="4" t="inlineStr">
        <is>
          <t>Central-West Orana Renewable Energy Zone</t>
        </is>
      </c>
      <c r="B49" s="4" t="inlineStr">
        <is>
          <t>CWO-PROJECT-MAIN</t>
        </is>
      </c>
      <c r="C49" s="4" t="inlineStr">
        <is>
          <t>CWO-AO-2026-TX-MEROTHERIE-B</t>
        </is>
      </c>
      <c r="D49" s="4" t="inlineStr">
        <is>
          <t>transformers_mva</t>
        </is>
      </c>
      <c r="E49" s="4" t="inlineStr">
        <is>
          <t>2026-06</t>
        </is>
      </c>
      <c r="F49" s="4" t="inlineStr">
        <is>
          <t>Merotherie-B substation transformer unit rating (Expansion)</t>
        </is>
      </c>
      <c r="G49" s="4" t="n">
        <v>1500</v>
      </c>
      <c r="H49" s="4" t="inlineStr">
        <is>
          <t>MVA</t>
        </is>
      </c>
      <c r="I49" s="4" t="n"/>
      <c r="J49" s="4" t="n"/>
      <c r="K49" s="4" t="n"/>
      <c r="L49" s="4" t="inlineStr">
        <is>
          <t>actionable New South Wales project</t>
        </is>
      </c>
      <c r="M49" s="4" t="inlineStr">
        <is>
          <t>Merotherie-B 500/330 kV substation in the actionable CWO REZ Expansion, with 3 x 500/330/33 kV 1,500 MVA transformers</t>
        </is>
      </c>
      <c r="N49" s="4" t="inlineStr">
        <is>
          <t>Future scope, conditional on a separate NSW authorisation; not part of the committed project</t>
        </is>
      </c>
      <c r="O49" s="4" t="inlineStr">
        <is>
          <t>CWO-22</t>
        </is>
      </c>
      <c r="P49" s="4" t="inlineStr">
        <is>
          <t>57</t>
        </is>
      </c>
      <c r="Q49" s="4" t="inlineStr">
        <is>
          <t>• Construct Merotherie-B 500/330 kV substation with 3 x 500/330/33 kV 1,500</t>
        </is>
      </c>
      <c r="R49" s="4" t="inlineStr"/>
      <c r="S49" s="4" t="inlineStr"/>
    </row>
    <row r="50">
      <c r="A50" s="4" t="inlineStr">
        <is>
          <t>Central-West Orana Renewable Energy Zone</t>
        </is>
      </c>
      <c r="B50" s="4" t="inlineStr">
        <is>
          <t>CWO-PROJECT-MAIN</t>
        </is>
      </c>
      <c r="C50" s="4" t="inlineStr">
        <is>
          <t>CWO-AO-2026-TX-ELONG</t>
        </is>
      </c>
      <c r="D50" s="4" t="inlineStr">
        <is>
          <t>transformers_mva</t>
        </is>
      </c>
      <c r="E50" s="4" t="inlineStr">
        <is>
          <t>2026-06</t>
        </is>
      </c>
      <c r="F50" s="4" t="inlineStr">
        <is>
          <t>Elong Elong substation transformer unit rating (Expansion)</t>
        </is>
      </c>
      <c r="G50" s="4" t="n">
        <v>1500</v>
      </c>
      <c r="H50" s="4" t="inlineStr">
        <is>
          <t>MVA</t>
        </is>
      </c>
      <c r="I50" s="4" t="n"/>
      <c r="J50" s="4" t="n"/>
      <c r="K50" s="4" t="n"/>
      <c r="L50" s="4" t="inlineStr">
        <is>
          <t>actionable New South Wales project</t>
        </is>
      </c>
      <c r="M50" s="4" t="inlineStr">
        <is>
          <t>Elong Elong expanded as a 500/330 kV substation in the CWO REZ Expansion, with 3 x 500/330/33 kV 1,500 MVA transformers</t>
        </is>
      </c>
      <c r="N50" s="4" t="inlineStr">
        <is>
          <t>Future scope; in the committed project Elong Elong is a 330 kV switching station without these transformers</t>
        </is>
      </c>
      <c r="O50" s="4" t="inlineStr">
        <is>
          <t>CWO-22</t>
        </is>
      </c>
      <c r="P50" s="4" t="inlineStr">
        <is>
          <t>57</t>
        </is>
      </c>
      <c r="Q50" s="4" t="inlineStr">
        <is>
          <t>• Expand Elong Elong as 500/330 kV substation with 3 x 500/330/33 kV 1,500 MVA</t>
        </is>
      </c>
      <c r="R50" s="4" t="inlineStr"/>
      <c r="S50" s="4" t="inlineStr"/>
    </row>
    <row r="51">
      <c r="A51" s="4" t="inlineStr">
        <is>
          <t>Central-West Orana Renewable Energy Zone</t>
        </is>
      </c>
      <c r="B51" s="4" t="inlineStr">
        <is>
          <t>CWO-PROJECT-MAIN</t>
        </is>
      </c>
      <c r="C51" s="4" t="inlineStr">
        <is>
          <t>CWO-AO-2023-OPT1A-CIRCUITS</t>
        </is>
      </c>
      <c r="D51" s="4" t="inlineStr">
        <is>
          <t>lines</t>
        </is>
      </c>
      <c r="E51" s="4" t="inlineStr">
        <is>
          <t>2023-05</t>
        </is>
      </c>
      <c r="F51" s="4" t="inlineStr">
        <is>
          <t>Option 1A double circuits between Wollar and Merotherie</t>
        </is>
      </c>
      <c r="G51" s="4" t="n">
        <v>2</v>
      </c>
      <c r="H51" s="4" t="inlineStr">
        <is>
          <t>count</t>
        </is>
      </c>
      <c r="I51" s="4" t="n"/>
      <c r="J51" s="4" t="n"/>
      <c r="K51" s="4" t="n"/>
      <c r="L51" s="4" t="inlineStr">
        <is>
          <t>strategy option</t>
        </is>
      </c>
      <c r="M51" s="4" t="inlineStr">
        <is>
          <t>2023 strategy Option 1A: two 500 kV double circuits between Wollar and Merotherie, plus 330 kV lines to new energy hubs</t>
        </is>
      </c>
      <c r="N51" s="4" t="inlineStr">
        <is>
          <t>The 2023 option-stage description; superseded by the authorised 2024 scope</t>
        </is>
      </c>
      <c r="O51" s="4" t="inlineStr">
        <is>
          <t>CWO-04</t>
        </is>
      </c>
      <c r="P51" s="4" t="inlineStr">
        <is>
          <t>32</t>
        </is>
      </c>
      <c r="Q51" s="4" t="inlineStr">
        <is>
          <t>• two 500 kV double circuits between Wollar and</t>
        </is>
      </c>
      <c r="R51" s="4" t="inlineStr"/>
      <c r="S51" s="4" t="inlineStr"/>
    </row>
    <row r="52">
      <c r="A52" s="4" t="inlineStr">
        <is>
          <t>Central-West Orana Renewable Energy Zone</t>
        </is>
      </c>
      <c r="B52" s="4" t="inlineStr">
        <is>
          <t>CWO-PROJECT-MAIN</t>
        </is>
      </c>
      <c r="C52" s="4" t="inlineStr">
        <is>
          <t>CWO-AO-2024-VOLTAGE-500</t>
        </is>
      </c>
      <c r="D52" s="4" t="inlineStr">
        <is>
          <t>voltage</t>
        </is>
      </c>
      <c r="E52" s="4" t="inlineStr">
        <is>
          <t>2024-06-04</t>
        </is>
      </c>
      <c r="F52" s="4" t="inlineStr">
        <is>
          <t>Trunk operating voltage of the Main network</t>
        </is>
      </c>
      <c r="G52" s="4" t="n">
        <v>500</v>
      </c>
      <c r="H52" s="4" t="inlineStr">
        <is>
          <t>kV</t>
        </is>
      </c>
      <c r="I52" s="4" t="n"/>
      <c r="J52" s="4" t="n"/>
      <c r="K52" s="4" t="n"/>
      <c r="L52" s="4" t="inlineStr">
        <is>
          <t>Consumer Trustee authorisation as reproduced by the AER</t>
        </is>
      </c>
      <c r="M52" s="4" t="inlineStr">
        <is>
          <t>500 kV transmission network from Wollar to Elong Elong via Merotherie; 330 kV operating voltage initially applies from Merotherie to Elong Elong</t>
        </is>
      </c>
      <c r="N52" s="4" t="inlineStr">
        <is>
          <t>Trunk design voltage; the Merotherie-Elong Elong section is initially operated at 330 kV until the Expansion converts it</t>
        </is>
      </c>
      <c r="O52" s="4" t="inlineStr">
        <is>
          <t>CWO-18</t>
        </is>
      </c>
      <c r="P52" s="4" t="inlineStr">
        <is>
          <t>14</t>
        </is>
      </c>
      <c r="Q52" s="4" t="inlineStr">
        <is>
          <t>(a) A 500 kV transmission network from Wollar</t>
        </is>
      </c>
      <c r="R52" s="4" t="inlineStr"/>
      <c r="S52" s="4" t="inlineStr"/>
    </row>
    <row r="53">
      <c r="A53" s="4" t="inlineStr">
        <is>
          <t>Central-West Orana Renewable Energy Zone</t>
        </is>
      </c>
      <c r="B53" s="4" t="inlineStr">
        <is>
          <t>CWO-PROJECT-MAIN</t>
        </is>
      </c>
      <c r="C53" s="4" t="inlineStr">
        <is>
          <t>CWO-AO-2020-ISP-TIMING</t>
        </is>
      </c>
      <c r="D53" s="4" t="inlineStr">
        <is>
          <t>completion</t>
        </is>
      </c>
      <c r="E53" s="4" t="inlineStr">
        <is>
          <t>2020-07</t>
        </is>
      </c>
      <c r="F53" s="4" t="inlineStr">
        <is>
          <t>2020 ISP optimal timing</t>
        </is>
      </c>
      <c r="G53" s="4" t="inlineStr">
        <is>
          <t>2024-25</t>
        </is>
      </c>
      <c r="H53" s="4" t="inlineStr">
        <is>
          <t>date</t>
        </is>
      </c>
      <c r="I53" s="4" t="n"/>
      <c r="J53" s="4" t="n"/>
      <c r="K53" s="4" t="n"/>
      <c r="L53" s="4" t="inlineStr">
        <is>
          <t>ISP planner timing</t>
        </is>
      </c>
      <c r="M53" s="4" t="inlineStr">
        <is>
          <t>Timing for the Central-West Orana REZ Transmission Link as an actionable ISP project</t>
        </is>
      </c>
      <c r="N53" s="4" t="inlineStr">
        <is>
          <t>A pre-RIT-T ISP timing for a different scope; superseded</t>
        </is>
      </c>
      <c r="O53" s="4" t="inlineStr">
        <is>
          <t>CWO-01</t>
        </is>
      </c>
      <c r="P53" s="4" t="inlineStr">
        <is>
          <t>31</t>
        </is>
      </c>
      <c r="Q53" s="4" t="inlineStr">
        <is>
          <t>Timing Central-West Orana REZ Transmission Link is an actionable project and is timed for 2024-25.</t>
        </is>
      </c>
      <c r="R53" s="4" t="inlineStr"/>
      <c r="S53" s="4" t="inlineStr"/>
    </row>
    <row r="54">
      <c r="A54" s="4" t="inlineStr">
        <is>
          <t>Central-West Orana Renewable Energy Zone</t>
        </is>
      </c>
      <c r="B54" s="4" t="inlineStr">
        <is>
          <t>CWO-PROJECT-MAIN</t>
        </is>
      </c>
      <c r="C54" s="4" t="inlineStr">
        <is>
          <t>CWO-AO-2024-IPR-TIMING</t>
        </is>
      </c>
      <c r="D54" s="4" t="inlineStr">
        <is>
          <t>completion</t>
        </is>
      </c>
      <c r="E54" s="4" t="inlineStr">
        <is>
          <t>2024-05-22</t>
        </is>
      </c>
      <c r="F54" s="4" t="inlineStr">
        <is>
          <t>EnergyCo recommendation construction and completion expectation</t>
        </is>
      </c>
      <c r="G54" s="4" t="inlineStr">
        <is>
          <t>2028</t>
        </is>
      </c>
      <c r="H54" s="4" t="inlineStr">
        <is>
          <t>date</t>
        </is>
      </c>
      <c r="I54" s="4" t="n"/>
      <c r="J54" s="4" t="n"/>
      <c r="K54" s="4" t="n"/>
      <c r="L54" s="4" t="inlineStr">
        <is>
          <t>infrastructure planner recommendation</t>
        </is>
      </c>
      <c r="M54" s="4" t="inlineStr">
        <is>
          <t>Construction of the Central-West Orana RNIP expected to begin in early 2025, be completed by 2028, and be fully operational by 2030</t>
        </is>
      </c>
      <c r="N54" s="4" t="inlineStr">
        <is>
          <t>Completion and full operation are different milestones in the same sentence; neither is 2029</t>
        </is>
      </c>
      <c r="O54" s="4" t="inlineStr">
        <is>
          <t>CWO-09</t>
        </is>
      </c>
      <c r="P54" s="4" t="inlineStr">
        <is>
          <t>10</t>
        </is>
      </c>
      <c r="Q54" s="4" t="inlineStr">
        <is>
          <t>Construction of the Central-West Orana RNIP is expected to begin in early 2025 and be completed</t>
        </is>
      </c>
      <c r="R54" s="4" t="inlineStr"/>
      <c r="S54" s="4" t="inlineStr"/>
    </row>
    <row r="55">
      <c r="A55" s="4" t="inlineStr">
        <is>
          <t>Central-West Orana Renewable Energy Zone</t>
        </is>
      </c>
      <c r="B55" s="4" t="inlineStr">
        <is>
          <t>CWO-PROJECT-MAIN</t>
        </is>
      </c>
      <c r="C55" s="4" t="inlineStr">
        <is>
          <t>CWO-AO-2025-STAGED-COMPLETION</t>
        </is>
      </c>
      <c r="D55" s="4" t="inlineStr">
        <is>
          <t>completion</t>
        </is>
      </c>
      <c r="E55" s="4" t="inlineStr">
        <is>
          <t>2025-06</t>
        </is>
      </c>
      <c r="F55" s="4" t="inlineStr">
        <is>
          <t>Staged infrastructure completion at the remade determination</t>
        </is>
      </c>
      <c r="G55" s="4" t="inlineStr">
        <is>
          <t>2028-04 to 2030-04</t>
        </is>
      </c>
      <c r="H55" s="4" t="inlineStr">
        <is>
          <t>date</t>
        </is>
      </c>
      <c r="I55" s="4" t="n"/>
      <c r="J55" s="4" t="n"/>
      <c r="K55" s="4" t="n"/>
      <c r="L55" s="4" t="inlineStr">
        <is>
          <t>regulator determination</t>
        </is>
      </c>
      <c r="M55" s="4" t="inlineStr">
        <is>
          <t>Infrastructure completion staged between April 2028 and April 2030, with generation projects commencing progressively from December 2028 to September 2030</t>
        </is>
      </c>
      <c r="N55" s="4" t="inlineStr">
        <is>
          <t>A staged range by separable portion, not a single completion year</t>
        </is>
      </c>
      <c r="O55" s="4" t="inlineStr">
        <is>
          <t>CWO-18</t>
        </is>
      </c>
      <c r="P55" s="4" t="inlineStr">
        <is>
          <t>12</t>
        </is>
      </c>
      <c r="Q55" s="4" t="inlineStr">
        <is>
          <t>paid to ACEREZ.37 Infrastructure completion will be staged between April 2028 and</t>
        </is>
      </c>
      <c r="R55" s="4" t="inlineStr"/>
      <c r="S55" s="4" t="inlineStr"/>
    </row>
    <row r="56">
      <c r="A56" s="4" t="inlineStr">
        <is>
          <t>Central-West Orana Renewable Energy Zone</t>
        </is>
      </c>
      <c r="B56" s="4" t="inlineStr">
        <is>
          <t>CWO-PROJECT-MAIN</t>
        </is>
      </c>
      <c r="C56" s="4" t="inlineStr">
        <is>
          <t>CWO-AO-2026-COMMITTED-TIMING</t>
        </is>
      </c>
      <c r="D56" s="4" t="inlineStr">
        <is>
          <t>completion</t>
        </is>
      </c>
      <c r="E56" s="4" t="inlineStr">
        <is>
          <t>2026-06</t>
        </is>
      </c>
      <c r="F56" s="4" t="inlineStr">
        <is>
          <t>2026 ISP timing for the committed Main project</t>
        </is>
      </c>
      <c r="G56" s="4" t="inlineStr">
        <is>
          <t>2028-12</t>
        </is>
      </c>
      <c r="H56" s="4" t="inlineStr">
        <is>
          <t>date</t>
        </is>
      </c>
      <c r="I56" s="4" t="n"/>
      <c r="J56" s="4" t="n"/>
      <c r="K56" s="4" t="n"/>
      <c r="L56" s="4" t="inlineStr">
        <is>
          <t>planner timing</t>
        </is>
      </c>
      <c r="M56" s="4" t="inlineStr">
        <is>
          <t>Delivery scope table for the committed Central-West Orana REZ Network Infrastructure Project</t>
        </is>
      </c>
      <c r="N56" s="4" t="inlineStr">
        <is>
          <t>The current planner timing for the committed project; the chart's 2029 is not stated by any archived source</t>
        </is>
      </c>
      <c r="O56" s="4" t="inlineStr">
        <is>
          <t>CWO-22</t>
        </is>
      </c>
      <c r="P56" s="4" t="inlineStr">
        <is>
          <t>23</t>
        </is>
      </c>
      <c r="Q56" s="4" t="inlineStr">
        <is>
          <t>project December 2028</t>
        </is>
      </c>
      <c r="R56" s="4" t="inlineStr">
        <is>
          <t>selected</t>
        </is>
      </c>
      <c r="S56" s="4" t="inlineStr">
        <is>
          <t>Table row reads 'Committed 4,500 Committed project December 2028'; the reported-cost cell reads 'Committed project' rather than an amount.</t>
        </is>
      </c>
    </row>
    <row r="57">
      <c r="A57" s="4" t="inlineStr">
        <is>
          <t>Central-West Orana Renewable Energy Zone</t>
        </is>
      </c>
      <c r="B57" s="4" t="inlineStr">
        <is>
          <t>CWO-PROJECT-MAIN</t>
        </is>
      </c>
      <c r="C57" s="4" t="inlineStr">
        <is>
          <t>CWO-AO-2026-EXPANSION-TIMING</t>
        </is>
      </c>
      <c r="D57" s="4" t="inlineStr">
        <is>
          <t>completion</t>
        </is>
      </c>
      <c r="E57" s="4" t="inlineStr">
        <is>
          <t>2026-06</t>
        </is>
      </c>
      <c r="F57" s="4" t="inlineStr">
        <is>
          <t>2026 ISP timing for the CWO REZ Expansion</t>
        </is>
      </c>
      <c r="G57" s="4" t="inlineStr">
        <is>
          <t>2033-03</t>
        </is>
      </c>
      <c r="H57" s="4" t="inlineStr">
        <is>
          <t>date</t>
        </is>
      </c>
      <c r="I57" s="4" t="n"/>
      <c r="J57" s="4" t="n"/>
      <c r="K57" s="4" t="n"/>
      <c r="L57" s="4" t="inlineStr">
        <is>
          <t>proponent-advised timing reported by AEMO</t>
        </is>
      </c>
      <c r="M57" s="4" t="inlineStr">
        <is>
          <t>Timing advised by the proponent for N3 Option 1 (CWO REZ Expansion)</t>
        </is>
      </c>
      <c r="N57" s="4" t="inlineStr">
        <is>
          <t>Applies only to the Expansion, whose $855m is inside the chart's cost cell while the chart's date is 2029</t>
        </is>
      </c>
      <c r="O57" s="4" t="inlineStr">
        <is>
          <t>CWO-22</t>
        </is>
      </c>
      <c r="P57" s="4" t="inlineStr">
        <is>
          <t>57</t>
        </is>
      </c>
      <c r="Q57" s="4" t="inlineStr">
        <is>
          <t>March 2033</t>
        </is>
      </c>
      <c r="R57" s="4" t="inlineStr"/>
      <c r="S57" s="4" t="inlineStr"/>
    </row>
    <row r="58">
      <c r="A58" s="4" t="inlineStr">
        <is>
          <t>Central-West Orana Renewable Energy Zone</t>
        </is>
      </c>
      <c r="B58" s="4" t="inlineStr">
        <is>
          <t>CWO-PROJECT-MAIN</t>
        </is>
      </c>
      <c r="C58" s="4" t="inlineStr">
        <is>
          <t>CWO-AO-2024-TRUNK-BC-MEROTHERIE</t>
        </is>
      </c>
      <c r="D58" s="4" t="inlineStr">
        <is>
          <t>trunk_km</t>
        </is>
      </c>
      <c r="E58" s="4" t="inlineStr">
        <is>
          <t>2024-06</t>
        </is>
      </c>
      <c r="F58" s="4" t="inlineStr">
        <is>
          <t>Barigan Creek to Merotherie transmission line length</t>
        </is>
      </c>
      <c r="G58" s="4" t="n">
        <v>60</v>
      </c>
      <c r="H58" s="4" t="inlineStr">
        <is>
          <t>km</t>
        </is>
      </c>
      <c r="I58" s="4" t="n"/>
      <c r="J58" s="4" t="n"/>
      <c r="K58" s="4" t="inlineStr">
        <is>
          <t>Stated as 'approximately'</t>
        </is>
      </c>
      <c r="L58" s="4" t="inlineStr">
        <is>
          <t>statement of reasons (authorisation basis)</t>
        </is>
      </c>
      <c r="M58" s="4" t="inlineStr">
        <is>
          <t>Barigan Creek to Merotherie section of the Main CWO REZ 500 kV network, comprising two 500 kV double circuit lines at an operating voltage of 500 kV</t>
        </is>
      </c>
      <c r="N58" s="4" t="inlineStr">
        <is>
          <t>One of two segments summing to the AER's 90 km core corridor (CWO-AO-2025-TRUNK-90KM); not a separate or additional length</t>
        </is>
      </c>
      <c r="O58" s="4" t="inlineStr">
        <is>
          <t>CWO-23</t>
        </is>
      </c>
      <c r="P58" s="4" t="inlineStr">
        <is>
          <t>10</t>
        </is>
      </c>
      <c r="Q58" s="4" t="inlineStr">
        <is>
          <t>an approximately 60 kilometre transmission line from Barigan Creek to Merotherie comprising two 500 kV 
double circuit lines at an operating voltage of 500kV</t>
        </is>
      </c>
      <c r="R58" s="4" t="inlineStr"/>
      <c r="S58" s="4" t="inlineStr">
        <is>
          <t>ASL statement of reasons section 3.2, describing the Main project scope underlying the 2024 Notice of Authorisation (CWO-10).</t>
        </is>
      </c>
    </row>
    <row r="59">
      <c r="A59" s="4" t="inlineStr">
        <is>
          <t>Central-West Orana Renewable Energy Zone</t>
        </is>
      </c>
      <c r="B59" s="4" t="inlineStr">
        <is>
          <t>CWO-PROJECT-MAIN</t>
        </is>
      </c>
      <c r="C59" s="4" t="inlineStr">
        <is>
          <t>CWO-AO-2024-TRUNK-MEROTHERIE-ELONG</t>
        </is>
      </c>
      <c r="D59" s="4" t="inlineStr">
        <is>
          <t>trunk_km</t>
        </is>
      </c>
      <c r="E59" s="4" t="inlineStr">
        <is>
          <t>2024-06</t>
        </is>
      </c>
      <c r="F59" s="4" t="inlineStr">
        <is>
          <t>Merotherie to Elong Elong transmission line length</t>
        </is>
      </c>
      <c r="G59" s="4" t="n">
        <v>30</v>
      </c>
      <c r="H59" s="4" t="inlineStr">
        <is>
          <t>km</t>
        </is>
      </c>
      <c r="I59" s="4" t="n"/>
      <c r="J59" s="4" t="n"/>
      <c r="K59" s="4" t="inlineStr">
        <is>
          <t>Stated as 'approximately'</t>
        </is>
      </c>
      <c r="L59" s="4" t="inlineStr">
        <is>
          <t>statement of reasons (authorisation basis)</t>
        </is>
      </c>
      <c r="M59" s="4" t="inlineStr">
        <is>
          <t>Merotherie to Elong Elong section of the Main CWO REZ 500 kV network, comprising two 500 kV double circuit lines initially operated at 330 kV</t>
        </is>
      </c>
      <c r="N59" s="4" t="inlineStr">
        <is>
          <t>Second of two segments summing to the AER's 90 km core corridor (CWO-AO-2025-TRUNK-90KM); not a separate or additional length</t>
        </is>
      </c>
      <c r="O59" s="4" t="inlineStr">
        <is>
          <t>CWO-23</t>
        </is>
      </c>
      <c r="P59" s="4" t="inlineStr">
        <is>
          <t>10</t>
        </is>
      </c>
      <c r="Q59" s="4" t="inlineStr">
        <is>
          <t>an approximately 30 kilometre transmission line from Merotherie to Elong Elong comprising two 500 kV 
double circuit lines at an operating voltage of 330 kV</t>
        </is>
      </c>
      <c r="R59" s="4" t="inlineStr"/>
      <c r="S59" s="4" t="inlineStr"/>
    </row>
    <row r="60">
      <c r="A60" s="4" t="inlineStr">
        <is>
          <t>Central-West Orana Renewable Energy Zone</t>
        </is>
      </c>
      <c r="B60" s="4" t="inlineStr">
        <is>
          <t>CWO-PROJECT-MAIN</t>
        </is>
      </c>
      <c r="C60" s="4" t="inlineStr">
        <is>
          <t>CWO-AO-2024-LINES-ASL-SOR</t>
        </is>
      </c>
      <c r="D60" s="4" t="inlineStr">
        <is>
          <t>lines</t>
        </is>
      </c>
      <c r="E60" s="4" t="inlineStr">
        <is>
          <t>2024-06</t>
        </is>
      </c>
      <c r="F60" s="4" t="inlineStr">
        <is>
          <t>Double circuit line composition per corridor section (ASL statement of reasons)</t>
        </is>
      </c>
      <c r="G60" s="4" t="n">
        <v>2</v>
      </c>
      <c r="H60" s="4" t="inlineStr">
        <is>
          <t>count</t>
        </is>
      </c>
      <c r="I60" s="4" t="n"/>
      <c r="J60" s="4" t="n"/>
      <c r="K60" s="4" t="n"/>
      <c r="L60" s="4" t="inlineStr">
        <is>
          <t>statement of reasons (authorisation basis)</t>
        </is>
      </c>
      <c r="M60" s="4" t="inlineStr">
        <is>
          <t>Main CWO REZ 500 kV network: both the Barigan Creek-Merotherie and Merotherie-Elong Elong sections, each comprising two 500 kV double circuit lines</t>
        </is>
      </c>
      <c r="N60" s="4" t="inlineStr">
        <is>
          <t>Corroborates CWO-AO-2025-LINES-2 (CWO-18) and CWO-AO-2024-AUTH-DC-LINES (CWO-10) from a third archived document; no source states a total circuit count</t>
        </is>
      </c>
      <c r="O60" s="4" t="inlineStr">
        <is>
          <t>CWO-23</t>
        </is>
      </c>
      <c r="P60" s="4" t="inlineStr">
        <is>
          <t>10</t>
        </is>
      </c>
      <c r="Q60" s="4" t="inlineStr">
        <is>
          <t>comprising two 500 kV 
double circuit lines at an operating voltage of 500kV</t>
        </is>
      </c>
      <c r="R60" s="4" t="inlineStr"/>
      <c r="S60" s="4" t="inlineStr"/>
    </row>
    <row r="61">
      <c r="A61" s="4" t="inlineStr">
        <is>
          <t>Central-West Orana Renewable Energy Zone</t>
        </is>
      </c>
      <c r="B61" s="4" t="inlineStr">
        <is>
          <t>CWO-PROJECT-MAIN</t>
        </is>
      </c>
      <c r="C61" s="4" t="inlineStr">
        <is>
          <t>CWO-AO-2024-H2P-166KM</t>
        </is>
      </c>
      <c r="D61" s="4" t="inlineStr">
        <is>
          <t>feeder_km</t>
        </is>
      </c>
      <c r="E61" s="4" t="inlineStr">
        <is>
          <t>2024-06</t>
        </is>
      </c>
      <c r="F61" s="4" t="inlineStr">
        <is>
          <t>H2P transmission line total length (ASL statement of reasons)</t>
        </is>
      </c>
      <c r="G61" s="4" t="n">
        <v>166</v>
      </c>
      <c r="H61" s="4" t="inlineStr">
        <is>
          <t>km</t>
        </is>
      </c>
      <c r="I61" s="4" t="n"/>
      <c r="J61" s="4" t="n"/>
      <c r="K61" s="4" t="inlineStr">
        <is>
          <t>Stated as 'approximately'</t>
        </is>
      </c>
      <c r="L61" s="4" t="inlineStr">
        <is>
          <t>statement of reasons (authorisation basis)</t>
        </is>
      </c>
      <c r="M61" s="4" t="inlineStr">
        <is>
          <t>330 kV H2P transmission network from the Energy Hubs to 13 330 kV switching stations, as described in the Main project scope underlying the Notice of Authorisation</t>
        </is>
      </c>
      <c r="N61" s="4" t="inlineStr">
        <is>
          <t>Contradicts the AER's 'around 150 km' H2P corridor figure (CWO-AO-2025-H2P-150KM) for what appears to be the same hub-to-project network boundary; see CONTRADICTION warning</t>
        </is>
      </c>
      <c r="O61" s="4" t="inlineStr">
        <is>
          <t>CWO-23</t>
        </is>
      </c>
      <c r="P61" s="4" t="inlineStr">
        <is>
          <t>10</t>
        </is>
      </c>
      <c r="Q61" s="4" t="inlineStr">
        <is>
          <t>comprising a total of approximately 166 kilometres 
of transmission lines (H2P Assets)</t>
        </is>
      </c>
      <c r="R61" s="4" t="inlineStr"/>
      <c r="S61" s="4" t="inlineStr"/>
    </row>
    <row r="62">
      <c r="A62" s="4" t="inlineStr">
        <is>
          <t>Central-West Orana Renewable Energy Zone</t>
        </is>
      </c>
      <c r="B62" s="4" t="inlineStr">
        <is>
          <t>CWO-PROJECT-MAIN</t>
        </is>
      </c>
      <c r="C62" s="4" t="inlineStr">
        <is>
          <t>CWO-AO-2025-SYNCON-CWO24-240MVA</t>
        </is>
      </c>
      <c r="D62" s="4" t="inlineStr">
        <is>
          <t>syncons_mva</t>
        </is>
      </c>
      <c r="E62" s="4" t="inlineStr">
        <is>
          <t>2025-08-12</t>
        </is>
      </c>
      <c r="F62" s="4" t="inlineStr">
        <is>
          <t>ACEREZ synchronous condenser per-unit rating for CWO Stage 1 remediation (Transgrid PACR)</t>
        </is>
      </c>
      <c r="G62" s="4" t="n">
        <v>240</v>
      </c>
      <c r="H62" s="4" t="inlineStr">
        <is>
          <t>MVA</t>
        </is>
      </c>
      <c r="I62" s="4" t="n"/>
      <c r="J62" s="4" t="n"/>
      <c r="K62" s="4" t="n"/>
      <c r="L62" s="4" t="inlineStr">
        <is>
          <t>RIT-T Project Assessment Conclusions Report</t>
        </is>
      </c>
      <c r="M62" s="4" t="inlineStr">
        <is>
          <t>Seven synchronous condensers planned by ACEREZ, as advised by ACEREZ and EnergyCo, to remediate the first 5.84 GW of IBR in the CWO REZ; each unit provides 834-955 MVA fault current at its 330 kV point of connection</t>
        </is>
      </c>
      <c r="N62" s="4" t="inlineStr">
        <is>
          <t>Contradicts the AER's 'Seven 250 MVA synchronous condenser' units (CWO-18 PDF p15); both describe seven ACEREZ units against the same authorised 'up to 1,750 MVA' nameplate rating (CWO-10), but state different individual unit ratings (240 MVA vs 250 MVA; 7x240=1,680 MVA vs 7x250=1,750 MVA)</t>
        </is>
      </c>
      <c r="O62" s="4" t="inlineStr">
        <is>
          <t>CWO-24</t>
        </is>
      </c>
      <c r="P62" s="4" t="inlineStr">
        <is>
          <t>31</t>
        </is>
      </c>
      <c r="Q62" s="4" t="inlineStr">
        <is>
          <t>seven 240 MVA-rated synchronous condensers are planned 
for the remediation of the first 5.84 GW of IBR within the Central West Orana REZ</t>
        </is>
      </c>
      <c r="R62" s="4" t="inlineStr"/>
      <c r="S62" s="4" t="inlineStr">
        <is>
          <t>See CONTRADICTION warning on synchronous condenser unit rating.</t>
        </is>
      </c>
    </row>
    <row r="63">
      <c r="A63" s="4" t="inlineStr">
        <is>
          <t>Central-West Orana Renewable Energy Zone</t>
        </is>
      </c>
      <c r="B63" s="4" t="inlineStr">
        <is>
          <t>CWO-PROJECT-MAIN</t>
        </is>
      </c>
      <c r="C63" s="4" t="inlineStr">
        <is>
          <t>CWO-AO-2025-CWO-STAGE1-IBR-CAPACITY</t>
        </is>
      </c>
      <c r="D63" s="4" t="inlineStr">
        <is>
          <t>capacity</t>
        </is>
      </c>
      <c r="E63" s="4" t="inlineStr">
        <is>
          <t>2025-08-12</t>
        </is>
      </c>
      <c r="F63" s="4" t="inlineStr">
        <is>
          <t>IBR capacity remediated by CWO REZ Stage 1 synchronous condensers (Transgrid PACR)</t>
        </is>
      </c>
      <c r="G63" s="4" t="n">
        <v>5840</v>
      </c>
      <c r="H63" s="4" t="inlineStr">
        <is>
          <t>MW</t>
        </is>
      </c>
      <c r="I63" s="4" t="n"/>
      <c r="J63" s="4" t="n"/>
      <c r="K63" s="4" t="n"/>
      <c r="L63" s="4" t="inlineStr">
        <is>
          <t>RIT-T Project Assessment Conclusions Report</t>
        </is>
      </c>
      <c r="M63" s="4" t="inlineStr">
        <is>
          <t>First 5.84 GW of IBR within the Central West Orana REZ, centrally remediated by ACEREZ as Network Operator rather than by Transgrid as NSW's system strength service provider</t>
        </is>
      </c>
      <c r="N63" s="4" t="inlineStr">
        <is>
          <t>Same numeric value (5.84 GW) as EnergyCo's previous aggregate maximum capacity cap (CWO-AO-2025-AGG-CAP-PREV), but a different concept: system strength remediation scope for Stage 1, not an access-rights allocation cap</t>
        </is>
      </c>
      <c r="O63" s="4" t="inlineStr">
        <is>
          <t>CWO-24</t>
        </is>
      </c>
      <c r="P63" s="4" t="inlineStr">
        <is>
          <t>23</t>
        </is>
      </c>
      <c r="Q63" s="4" t="inlineStr">
        <is>
          <t>remediate the 
Central West Orana REZ Stage 1 (5.84 GW of IBR) via ACEREZ</t>
        </is>
      </c>
      <c r="R63" s="4" t="inlineStr"/>
      <c r="S63" s="4" t="inlineStr">
        <is>
          <t>Section 2.3.5.1 'Central West Orana REZ Stage 1' at PDF p31 gives the full detail underlying this summary bullet; see CWO-AO-2025-SYNCON-CWO24-240MVA.</t>
        </is>
      </c>
    </row>
    <row r="64">
      <c r="A64" s="4" t="inlineStr">
        <is>
          <t>Central-West Orana Renewable Energy Zone</t>
        </is>
      </c>
      <c r="B64" s="4" t="inlineStr">
        <is>
          <t>CWO-PROJECT-MAIN</t>
        </is>
      </c>
      <c r="C64" s="4" t="inlineStr">
        <is>
          <t>CWO-AO-2026-ACEREZ-TRUNK-90KM</t>
        </is>
      </c>
      <c r="D64" s="4" t="inlineStr">
        <is>
          <t>trunk_km</t>
        </is>
      </c>
      <c r="E64" s="4" t="inlineStr">
        <is>
          <t>2026</t>
        </is>
      </c>
      <c r="F64" s="4" t="inlineStr">
        <is>
          <t>ACEREZ project page trunk transmission line length</t>
        </is>
      </c>
      <c r="G64" s="4" t="n">
        <v>90</v>
      </c>
      <c r="H64" s="4" t="inlineStr">
        <is>
          <t>km</t>
        </is>
      </c>
      <c r="I64" s="4" t="n"/>
      <c r="J64" s="4" t="n"/>
      <c r="K64" s="4" t="n"/>
      <c r="L64" s="4" t="inlineStr">
        <is>
          <t>proponent website description</t>
        </is>
      </c>
      <c r="M64" s="4" t="inlineStr">
        <is>
          <t>Main core network as described by ACEREZ: 500 kV overhead transmission lines stretching from Elong Elong in the west through to Barigan Creek in the east via an energy hub at Merotherie</t>
        </is>
      </c>
      <c r="N64" s="4" t="inlineStr">
        <is>
          <t>Corroborates the AER's 90 km core corridor (CWO-AO-2025-TRUNK-90KM) and the ASL statement of reasons' 60+30 km segments; same Main core boundary</t>
        </is>
      </c>
      <c r="O64" s="4" t="inlineStr">
        <is>
          <t>CWO-26</t>
        </is>
      </c>
      <c r="P64" s="4" t="inlineStr">
        <is>
          <t>web</t>
        </is>
      </c>
      <c r="Q64" s="4" t="inlineStr">
        <is>
          <t>The project consists of 90km of 500kV overhead transmission lines and 150 km of 330kV transmission lines for generator connections,</t>
        </is>
      </c>
      <c r="R64" s="4" t="inlineStr"/>
      <c r="S64" s="4" t="inlineStr">
        <is>
          <t>Unpaged web capture accessed 2026-09-04; the source page carries no publication date, so the observation date is recorded as the retrieval year.</t>
        </is>
      </c>
    </row>
    <row r="65">
      <c r="A65" s="4" t="inlineStr">
        <is>
          <t>Central-West Orana Renewable Energy Zone</t>
        </is>
      </c>
      <c r="B65" s="4" t="inlineStr">
        <is>
          <t>CWO-PROJECT-MAIN</t>
        </is>
      </c>
      <c r="C65" s="4" t="inlineStr">
        <is>
          <t>CWO-AO-2026-ACEREZ-FEEDER-150KM</t>
        </is>
      </c>
      <c r="D65" s="4" t="inlineStr">
        <is>
          <t>feeder_km</t>
        </is>
      </c>
      <c r="E65" s="4" t="inlineStr">
        <is>
          <t>2026</t>
        </is>
      </c>
      <c r="F65" s="4" t="inlineStr">
        <is>
          <t>ACEREZ project page 330 kV generator-connection line length</t>
        </is>
      </c>
      <c r="G65" s="4" t="n">
        <v>150</v>
      </c>
      <c r="H65" s="4" t="inlineStr">
        <is>
          <t>km</t>
        </is>
      </c>
      <c r="I65" s="4" t="n"/>
      <c r="J65" s="4" t="n"/>
      <c r="K65" s="4" t="n"/>
      <c r="L65" s="4" t="inlineStr">
        <is>
          <t>proponent website description</t>
        </is>
      </c>
      <c r="M65" s="4" t="inlineStr">
        <is>
          <t>330 kV transmission lines for generator connections within the CWO REZ, as described by ACEREZ</t>
        </is>
      </c>
      <c r="N65" s="4" t="inlineStr">
        <is>
          <t>States the same 150 km figure as the AER's 'around 150 km' H2P corridor (CWO-AO-2025-H2P-150KM), but contradicts the ASL statement of reasons' 166 km H2P total (CWO-AO-2024-H2P-166KM) for what appears to be the same generator-connection network boundary; see CONTRADICTION warning</t>
        </is>
      </c>
      <c r="O65" s="4" t="inlineStr">
        <is>
          <t>CWO-26</t>
        </is>
      </c>
      <c r="P65" s="4" t="inlineStr">
        <is>
          <t>web</t>
        </is>
      </c>
      <c r="Q65" s="4" t="inlineStr">
        <is>
          <t>150 km of 330kV transmission lines for generator connections, stretching from Elong Elong in the west through to Barigan Creek in the east, via an energy hub at Merotherie.</t>
        </is>
      </c>
      <c r="R65" s="4" t="inlineStr"/>
      <c r="S65" s="4" t="inlineStr">
        <is>
          <t>Unpaged web capture accessed 2026-09-04.</t>
        </is>
      </c>
    </row>
    <row r="66">
      <c r="A66" s="4" t="inlineStr">
        <is>
          <t>Central-West Orana Renewable Energy Zone</t>
        </is>
      </c>
      <c r="B66" s="4" t="inlineStr">
        <is>
          <t>CWO-PROJECT-MAIN</t>
        </is>
      </c>
      <c r="C66" s="4" t="inlineStr">
        <is>
          <t>CWO-AO-2022-ACCESS-SCHEME-ORDER</t>
        </is>
      </c>
      <c r="D66" s="4" t="inlineStr">
        <is>
          <t>other</t>
        </is>
      </c>
      <c r="E66" s="4" t="inlineStr">
        <is>
          <t>2022-12-23</t>
        </is>
      </c>
      <c r="F66" s="4" t="inlineStr">
        <is>
          <t>CWO REZ Access Scheme Order commencement</t>
        </is>
      </c>
      <c r="G66" s="4" t="inlineStr">
        <is>
          <t>2022-12-23</t>
        </is>
      </c>
      <c r="H66" s="4" t="inlineStr">
        <is>
          <t>date</t>
        </is>
      </c>
      <c r="I66" s="4" t="n"/>
      <c r="J66" s="4" t="n"/>
      <c r="K66" s="4" t="n"/>
      <c r="L66" s="4" t="inlineStr">
        <is>
          <t>ministerial order (statutory instrument)</t>
        </is>
      </c>
      <c r="M66" s="4" t="inlineStr">
        <is>
          <t>Renewable Energy Zone (Central-West Orana) Access Scheme Order 2022, made by the Minister for Energy under section 24(1) of the Electricity Infrastructure Investment Act 2020</t>
        </is>
      </c>
      <c r="N66" s="4" t="inlineStr">
        <is>
          <t>The instrument itself gives no separate commencement date beyond publication; NSW Government Gazette No 591 is dated 23 December 2022, matching the date this pack's timeline already records as the access scheme's commencement (previously cited only indirectly through CWO-10)</t>
        </is>
      </c>
      <c r="O66" s="4" t="inlineStr">
        <is>
          <t>CWO-25</t>
        </is>
      </c>
      <c r="P66" s="4" t="inlineStr">
        <is>
          <t>19</t>
        </is>
      </c>
      <c r="Q66" s="4" t="inlineStr">
        <is>
          <t>This Order commences on the date that it is published in the Gazette.</t>
        </is>
      </c>
      <c r="R66" s="4" t="inlineStr"/>
      <c r="S66" s="4" t="inlineStr">
        <is>
          <t>The instrument's signature block ('Dated this ... 2022, Matthew Kean MP') has an illegible day/month in the archived text derivative; the order's own commencement clause ties into the Gazette's cover date instead. Resolves the prior SOURCE_UNAVAILABLE warning for this instrument.</t>
        </is>
      </c>
    </row>
    <row r="67">
      <c r="A67" s="4" t="inlineStr">
        <is>
          <t>Central-West Orana Renewable Energy Zone</t>
        </is>
      </c>
      <c r="B67" s="4" t="inlineStr">
        <is>
          <t>CWO-PROJECT-MAIN</t>
        </is>
      </c>
      <c r="C67" s="4" t="inlineStr">
        <is>
          <t>CWO-AO-2022-ACCESS-SCHEME-CAP</t>
        </is>
      </c>
      <c r="D67" s="4" t="inlineStr">
        <is>
          <t>capacity</t>
        </is>
      </c>
      <c r="E67" s="4" t="inlineStr">
        <is>
          <t>2022-12-23</t>
        </is>
      </c>
      <c r="F67" s="4" t="inlineStr">
        <is>
          <t>Initial aggregate maximum capacity cap set by the Access Scheme Order</t>
        </is>
      </c>
      <c r="G67" s="4" t="n">
        <v>5840</v>
      </c>
      <c r="H67" s="4" t="inlineStr">
        <is>
          <t>MW</t>
        </is>
      </c>
      <c r="I67" s="4" t="n"/>
      <c r="J67" s="4" t="n"/>
      <c r="K67" s="4" t="n"/>
      <c r="L67" s="4" t="inlineStr">
        <is>
          <t>ministerial order (statutory instrument)</t>
        </is>
      </c>
      <c r="M67" s="4" t="inlineStr">
        <is>
          <t>Initial aggregate maximum capacity cap in all capacity periods for the CWO REZ access rights network, based on the indicative capacity of the access rights network identified in the initial CWO REZ Declaration</t>
        </is>
      </c>
      <c r="N67" s="4" t="inlineStr">
        <is>
          <t>The originating statutory value for EnergyCo's previously-cited 'Previous aggregate maximum capacity cap: 5.84 GW' (CWO-AO-2025-AGG-CAP-PREV), now traced to its primary instrument; also corroborates the order's 4.37% target transmission curtailment level for the initial term, matching CWO-17</t>
        </is>
      </c>
      <c r="O67" s="4" t="inlineStr">
        <is>
          <t>CWO-25</t>
        </is>
      </c>
      <c r="P67" s="4" t="inlineStr">
        <is>
          <t>22</t>
        </is>
      </c>
      <c r="Q67" s="4" t="inlineStr">
        <is>
          <t>The initial aggregate maximum capacity cap in all capacity periods, based on 
the indicative capacity of the access rights network as identified in the 
initial CWO REZ Declaration, is 5.84GW.</t>
        </is>
      </c>
      <c r="R67" s="4" t="inlineStr"/>
      <c r="S67" s="4" t="inlineStr">
        <is>
          <t>Clause 8(1) and clause 9(1) of the Order, PDF page 22 of the archived Gazette. Resolves the prior SOURCE_UNAVAILABLE warning for this instrument.</t>
        </is>
      </c>
    </row>
    <row r="68">
      <c r="A68" s="4" t="inlineStr">
        <is>
          <t>Central-West Orana Renewable Energy Zone</t>
        </is>
      </c>
      <c r="B68" s="4" t="inlineStr">
        <is>
          <t>CWO-PROJECT-MAIN</t>
        </is>
      </c>
      <c r="C68" s="4" t="inlineStr">
        <is>
          <t>CWO-AO-2024-PLANNING-APPROVAL</t>
        </is>
      </c>
      <c r="D68" s="4" t="inlineStr">
        <is>
          <t>other</t>
        </is>
      </c>
      <c r="E68" s="4" t="inlineStr">
        <is>
          <t>2024-12</t>
        </is>
      </c>
      <c r="F68" s="4" t="inlineStr">
        <is>
          <t>NSW consolidated planning approval for the CWO REZ Transmission Project</t>
        </is>
      </c>
      <c r="G68" s="4" t="inlineStr">
        <is>
          <t>SSI 48323210</t>
        </is>
      </c>
      <c r="H68" s="4" t="inlineStr">
        <is>
          <t>identifier</t>
        </is>
      </c>
      <c r="I68" s="4" t="n"/>
      <c r="J68" s="4" t="n"/>
      <c r="K68" s="4" t="n"/>
      <c r="L68" s="4" t="inlineStr">
        <is>
          <t>State Significant Infrastructure approval (consolidated version)</t>
        </is>
      </c>
      <c r="M68" s="4" t="inlineStr">
        <is>
          <t>Critical State Significant Infrastructure approval under section 5.19 of the Environmental Planning and Assessment Act 1979 for the Central-West Orana REZ Transmission Project: program of works including pre-construction minor works, road upgrades, construction, operation, upgrading and decommissioning of the high-voltage electricity transmission infrastructure required to connect energy generation and storage projects within the CWO REZ to the existing electricity network</t>
        </is>
      </c>
      <c r="N68" s="4" t="inlineStr">
        <is>
          <t>A planning approval scope statement, not a cost or capacity figure; proponent recorded as the Energy Corporation of NSW (EnergyCo), not ACEREZ or Transgrid individually</t>
        </is>
      </c>
      <c r="O68" s="4" t="inlineStr">
        <is>
          <t>CWO-27</t>
        </is>
      </c>
      <c r="P68" s="4" t="inlineStr">
        <is>
          <t>2</t>
        </is>
      </c>
      <c r="Q68" s="4" t="inlineStr">
        <is>
          <t>Development: Central-West Orana REZ Transmission Project 
Program of works including pre-construction minor 
works, road upgrades, construction, operation, 
upgrading, and decommissioning the high-voltage 
electricity transmission infrastructure required to 
connect energy generation and storage projects 
within the Central-West Orana REZ to the existing 
electricity network</t>
        </is>
      </c>
      <c r="R68" s="4" t="inlineStr"/>
      <c r="S68" s="4" t="inlineStr">
        <is>
          <t>The consolidated approval's signature page reads 'Minister for Planning and Public Spaces / Sydney     2024' with no legible day or month in the archived text derivative; the December 2024 date is taken from the manifest's captured publication_date for this document. The approval already carries one modification (SSI-48323210-Mod-1, determined 14 October 2024, minor administrative changes).</t>
        </is>
      </c>
    </row>
    <row r="69">
      <c r="A69" s="4" t="inlineStr">
        <is>
          <t>HumeLink</t>
        </is>
      </c>
      <c r="B69" s="4" t="inlineStr">
        <is>
          <t>HUM-PROJECT-HUMELINK</t>
        </is>
      </c>
      <c r="C69" s="4" t="inlineStr">
        <is>
          <t>HUM-AO-2018-ISP-LOOP-CIRCUITS</t>
        </is>
      </c>
      <c r="D69" s="4" t="inlineStr">
        <is>
          <t>circuits</t>
        </is>
      </c>
      <c r="E69" s="4" t="inlineStr">
        <is>
          <t>2018-07</t>
        </is>
      </c>
      <c r="F69" s="4" t="inlineStr">
        <is>
          <t>SnowyLink program single-circuit 500 kV loop</t>
        </is>
      </c>
      <c r="G69" s="4" t="n">
        <v>1</v>
      </c>
      <c r="H69" s="4" t="inlineStr">
        <is>
          <t>count</t>
        </is>
      </c>
      <c r="I69" s="4" t="n"/>
      <c r="J69" s="4" t="n"/>
      <c r="K69" s="4" t="inlineStr">
        <is>
          <t>Not stated</t>
        </is>
      </c>
      <c r="L69" s="4" t="inlineStr">
        <is>
          <t>ISP development concept / predecessor</t>
        </is>
      </c>
      <c r="M69" s="4" t="inlineStr">
        <is>
          <t>Wagga-Bannaby-Snowy 2.0-Wagga loop described inside the broader SnowyLink program; circuit construction stated as single circuit</t>
        </is>
      </c>
      <c r="N69" s="4" t="inlineStr">
        <is>
          <t>Predecessor concept only. Not comparable with the 2021 all-double-circuit Option 3C or with the chart's circuit count.</t>
        </is>
      </c>
      <c r="O69" s="4" t="inlineStr">
        <is>
          <t>HUM-AEMO-2018-ISP-APP</t>
        </is>
      </c>
      <c r="P69" s="4" t="inlineStr">
        <is>
          <t>61</t>
        </is>
      </c>
      <c r="Q69" s="4" t="inlineStr">
        <is>
          <t>• Install a Wagga–Bannaby–Snowy2.0–Wagga single circuit 500 kV loop.</t>
        </is>
      </c>
      <c r="R69" s="4" t="inlineStr"/>
      <c r="S69" s="4" t="inlineStr">
        <is>
          <t>The 2018 documents do not state that all of SnowyLink later became HumeLink.</t>
        </is>
      </c>
    </row>
    <row r="70">
      <c r="A70" s="4" t="inlineStr">
        <is>
          <t>HumeLink</t>
        </is>
      </c>
      <c r="B70" s="4" t="inlineStr">
        <is>
          <t>HUM-PROJECT-HUMELINK</t>
        </is>
      </c>
      <c r="C70" s="4" t="inlineStr">
        <is>
          <t>HUM-AO-2020-PADR-3C-CAPEX</t>
        </is>
      </c>
      <c r="D70" s="4" t="inlineStr">
        <is>
          <t>cost</t>
        </is>
      </c>
      <c r="E70" s="4" t="inlineStr">
        <is>
          <t>2020-01</t>
        </is>
      </c>
      <c r="F70" s="4" t="inlineStr">
        <is>
          <t>PADR Option 3C indicative capex</t>
        </is>
      </c>
      <c r="G70" s="4" t="n">
        <v>1350</v>
      </c>
      <c r="H70" s="4" t="inlineStr">
        <is>
          <t>AUD million</t>
        </is>
      </c>
      <c r="I70" s="4" t="n"/>
      <c r="J70" s="4" t="n"/>
      <c r="K70" s="4" t="inlineStr">
        <is>
          <t>Not stated in the cited passages</t>
        </is>
      </c>
      <c r="L70" s="4" t="inlineStr">
        <is>
          <t>indicative / preliminary proponent estimate</t>
        </is>
      </c>
      <c r="M70" s="4" t="inlineStr">
        <is>
          <t>PADR Option 3C: new 500 kV route diverse lines in a 'loop' between Maragle, Bannaby and Wagga Wagga; final route not decided</t>
        </is>
      </c>
      <c r="N70" s="4" t="inlineStr">
        <is>
          <t>Not like-for-like with the 2021 PACR $3,317m: configuration, biodiversity treatment, maturity and price basis differ or are not stated.</t>
        </is>
      </c>
      <c r="O70" s="4" t="inlineStr">
        <is>
          <t>HUM-TG-2020-PADR</t>
        </is>
      </c>
      <c r="P70" s="4" t="inlineStr">
        <is>
          <t>27</t>
        </is>
      </c>
      <c r="Q70" s="4" t="inlineStr">
        <is>
          <t>The estimated capital cost of this option is approximately $1,350 million.</t>
        </is>
      </c>
      <c r="R70" s="4" t="inlineStr"/>
      <c r="S70" s="4" t="inlineStr">
        <is>
          <t>Also stated at PDF pp. 4, 22 and 53. Price year not stated; recorded under PRICE_BASIS_UNKNOWN.</t>
        </is>
      </c>
    </row>
    <row r="71">
      <c r="A71" s="4" t="inlineStr">
        <is>
          <t>HumeLink</t>
        </is>
      </c>
      <c r="B71" s="4" t="inlineStr">
        <is>
          <t>HUM-PROJECT-HUMELINK</t>
        </is>
      </c>
      <c r="C71" s="4" t="inlineStr">
        <is>
          <t>HUM-AO-2020-PADR-CAPACITY</t>
        </is>
      </c>
      <c r="D71" s="4" t="inlineStr">
        <is>
          <t>capacity</t>
        </is>
      </c>
      <c r="E71" s="4" t="inlineStr">
        <is>
          <t>2020-01</t>
        </is>
      </c>
      <c r="F71" s="4" t="inlineStr">
        <is>
          <t>PADR Option 3C additional generation accommodated</t>
        </is>
      </c>
      <c r="G71" s="4" t="n">
        <v>2570</v>
      </c>
      <c r="H71" s="4" t="inlineStr">
        <is>
          <t>MW</t>
        </is>
      </c>
      <c r="I71" s="4" t="n"/>
      <c r="J71" s="4" t="n"/>
      <c r="K71" s="4" t="inlineStr">
        <is>
          <t>Preliminary modelling</t>
        </is>
      </c>
      <c r="L71" s="4" t="inlineStr">
        <is>
          <t>indicative / preliminary proponent modelling</t>
        </is>
      </c>
      <c r="M71" s="4" t="inlineStr">
        <is>
          <t>Additional generation that could be accommodated at times of average import from VIC and average renewable generation in southern NSW</t>
        </is>
      </c>
      <c r="N71" s="4" t="inlineStr">
        <is>
          <t>Different measure from the 2026 ISP 2,200 MW transfer-capability increase; do not treat as the same series.</t>
        </is>
      </c>
      <c r="O71" s="4" t="inlineStr">
        <is>
          <t>HUM-TG-2020-PADR</t>
        </is>
      </c>
      <c r="P71" s="4" t="inlineStr">
        <is>
          <t>27</t>
        </is>
      </c>
      <c r="Q71" s="4" t="inlineStr">
        <is>
          <t>additional 2,570 MW generation could be accommodated</t>
        </is>
      </c>
      <c r="R71" s="4" t="inlineStr"/>
      <c r="S71" s="4" t="inlineStr">
        <is>
          <t>The PADR summary tables call the same number 'Additional firm capacity 2,570 MW' (PDF pp. 4, 22).</t>
        </is>
      </c>
    </row>
    <row r="72">
      <c r="A72" s="4" t="inlineStr">
        <is>
          <t>HumeLink</t>
        </is>
      </c>
      <c r="B72" s="4" t="inlineStr">
        <is>
          <t>HUM-PROJECT-HUMELINK</t>
        </is>
      </c>
      <c r="C72" s="4" t="inlineStr">
        <is>
          <t>HUM-AO-2020-ISP-COST-LOW</t>
        </is>
      </c>
      <c r="D72" s="4" t="inlineStr">
        <is>
          <t>cost</t>
        </is>
      </c>
      <c r="E72" s="4" t="inlineStr">
        <is>
          <t>2020-07</t>
        </is>
      </c>
      <c r="F72" s="4" t="inlineStr">
        <is>
          <t>2020 ISP HumeLink cost range low</t>
        </is>
      </c>
      <c r="G72" s="4" t="n">
        <v>1470</v>
      </c>
      <c r="H72" s="4" t="inlineStr">
        <is>
          <t>AUD million</t>
        </is>
      </c>
      <c r="I72" s="4" t="n"/>
      <c r="J72" s="4" t="n"/>
      <c r="K72" s="4" t="inlineStr">
        <is>
          <t>Range low bound</t>
        </is>
      </c>
      <c r="L72" s="4" t="inlineStr">
        <is>
          <t>ISP cost range / planner</t>
        </is>
      </c>
      <c r="M72" s="4" t="inlineStr">
        <is>
          <t>ISP candidate option: triangle Maragle-Bannaby-Wagga Wagga, approximately 630 km of upgrades</t>
        </is>
      </c>
      <c r="N72" s="4" t="inlineStr">
        <is>
          <t>ISP range on a 630 km scope; not like-for-like with later proponent option estimates.</t>
        </is>
      </c>
      <c r="O72" s="4" t="inlineStr">
        <is>
          <t>HUM-AEMO-2020-ISP-A3</t>
        </is>
      </c>
      <c r="P72" s="4" t="inlineStr">
        <is>
          <t>29</t>
        </is>
      </c>
      <c r="Q72" s="4" t="inlineStr">
        <is>
          <t>Cost $1,470 million to $2,730 million</t>
        </is>
      </c>
      <c r="R72" s="4" t="inlineStr"/>
      <c r="S72" s="4" t="inlineStr">
        <is>
          <t>Price year not stated; recorded under PRICE_BASIS_UNKNOWN.</t>
        </is>
      </c>
    </row>
    <row r="73">
      <c r="A73" s="4" t="inlineStr">
        <is>
          <t>HumeLink</t>
        </is>
      </c>
      <c r="B73" s="4" t="inlineStr">
        <is>
          <t>HUM-PROJECT-HUMELINK</t>
        </is>
      </c>
      <c r="C73" s="4" t="inlineStr">
        <is>
          <t>HUM-AO-2020-ISP-COST-HIGH</t>
        </is>
      </c>
      <c r="D73" s="4" t="inlineStr">
        <is>
          <t>cost</t>
        </is>
      </c>
      <c r="E73" s="4" t="inlineStr">
        <is>
          <t>2020-07</t>
        </is>
      </c>
      <c r="F73" s="4" t="inlineStr">
        <is>
          <t>2020 ISP HumeLink cost range high</t>
        </is>
      </c>
      <c r="G73" s="4" t="n">
        <v>2730</v>
      </c>
      <c r="H73" s="4" t="inlineStr">
        <is>
          <t>AUD million</t>
        </is>
      </c>
      <c r="I73" s="4" t="n"/>
      <c r="J73" s="4" t="n"/>
      <c r="K73" s="4" t="inlineStr">
        <is>
          <t>Range high bound</t>
        </is>
      </c>
      <c r="L73" s="4" t="inlineStr">
        <is>
          <t>ISP cost range / planner</t>
        </is>
      </c>
      <c r="M73" s="4" t="inlineStr">
        <is>
          <t>ISP candidate option: triangle Maragle-Bannaby-Wagga Wagga, approximately 630 km of upgrades</t>
        </is>
      </c>
      <c r="N73" s="4" t="inlineStr">
        <is>
          <t>ISP range on a 630 km scope; not like-for-like with later proponent option estimates.</t>
        </is>
      </c>
      <c r="O73" s="4" t="inlineStr">
        <is>
          <t>HUM-AEMO-2020-ISP-A3</t>
        </is>
      </c>
      <c r="P73" s="4" t="inlineStr">
        <is>
          <t>29</t>
        </is>
      </c>
      <c r="Q73" s="4" t="inlineStr">
        <is>
          <t>Cost $1,470 million to $2,730 million</t>
        </is>
      </c>
      <c r="R73" s="4" t="inlineStr"/>
      <c r="S73" s="4" t="inlineStr">
        <is>
          <t>Price year not stated; recorded under PRICE_BASIS_UNKNOWN.</t>
        </is>
      </c>
    </row>
    <row r="74">
      <c r="A74" s="4" t="inlineStr">
        <is>
          <t>HumeLink</t>
        </is>
      </c>
      <c r="B74" s="4" t="inlineStr">
        <is>
          <t>HUM-PROJECT-HUMELINK</t>
        </is>
      </c>
      <c r="C74" s="4" t="inlineStr">
        <is>
          <t>HUM-AO-2020-ISP-COST-CENTRAL</t>
        </is>
      </c>
      <c r="D74" s="4" t="inlineStr">
        <is>
          <t>cost</t>
        </is>
      </c>
      <c r="E74" s="4" t="inlineStr">
        <is>
          <t>2020-07</t>
        </is>
      </c>
      <c r="F74" s="4" t="inlineStr">
        <is>
          <t>2020 ISP modelled cost</t>
        </is>
      </c>
      <c r="G74" s="4" t="n">
        <v>2100</v>
      </c>
      <c r="H74" s="4" t="inlineStr">
        <is>
          <t>AUD million</t>
        </is>
      </c>
      <c r="I74" s="4" t="n"/>
      <c r="J74" s="4" t="n"/>
      <c r="K74" s="4" t="inlineStr">
        <is>
          <t>Central value within the published range</t>
        </is>
      </c>
      <c r="L74" s="4" t="inlineStr">
        <is>
          <t>ISP modelled cost / planner</t>
        </is>
      </c>
      <c r="M74" s="4" t="inlineStr">
        <is>
          <t>ISP candidate option as modelled in the 2020 ISP optimal development path</t>
        </is>
      </c>
      <c r="N74" s="4" t="inlineStr">
        <is>
          <t>Modelled central value, not a proponent estimate; not comparable with RIT-T option costs.</t>
        </is>
      </c>
      <c r="O74" s="4" t="inlineStr">
        <is>
          <t>HUM-AEMO-2020-ISP-A3</t>
        </is>
      </c>
      <c r="P74" s="4" t="inlineStr">
        <is>
          <t>14</t>
        </is>
      </c>
      <c r="Q74" s="4" t="inlineStr">
        <is>
          <t>[$2,100 million]</t>
        </is>
      </c>
      <c r="R74" s="4" t="inlineStr"/>
      <c r="S74" s="4" t="inlineStr">
        <is>
          <t>Published in the actionable-project table as '[ISP modelled cost]'. Price year not stated.</t>
        </is>
      </c>
    </row>
    <row r="75">
      <c r="A75" s="4" t="inlineStr">
        <is>
          <t>HumeLink</t>
        </is>
      </c>
      <c r="B75" s="4" t="inlineStr">
        <is>
          <t>HUM-PROJECT-HUMELINK</t>
        </is>
      </c>
      <c r="C75" s="4" t="inlineStr">
        <is>
          <t>HUM-AO-2020-ISP-TRANSFER-LOW</t>
        </is>
      </c>
      <c r="D75" s="4" t="inlineStr">
        <is>
          <t>capacity</t>
        </is>
      </c>
      <c r="E75" s="4" t="inlineStr">
        <is>
          <t>2020-07</t>
        </is>
      </c>
      <c r="F75" s="4" t="inlineStr">
        <is>
          <t>2020 ISP Tumut to Sydney transfer uplift, low</t>
        </is>
      </c>
      <c r="G75" s="4" t="n">
        <v>2230</v>
      </c>
      <c r="H75" s="4" t="inlineStr">
        <is>
          <t>MW</t>
        </is>
      </c>
      <c r="I75" s="4" t="n"/>
      <c r="J75" s="4" t="n"/>
      <c r="K75" s="4" t="inlineStr">
        <is>
          <t>Range low bound</t>
        </is>
      </c>
      <c r="L75" s="4" t="inlineStr">
        <is>
          <t>approximate network capability improvement / planner</t>
        </is>
      </c>
      <c r="M75" s="4" t="inlineStr">
        <is>
          <t>Tumut to Sydney transfer at time of peak demand</t>
        </is>
      </c>
      <c r="N75" s="4" t="inlineStr">
        <is>
          <t>Direction- and condition-specific transfer measure; not the same measure as REZ hosting capacity.</t>
        </is>
      </c>
      <c r="O75" s="4" t="inlineStr">
        <is>
          <t>HUM-AEMO-2020-ISP-A3</t>
        </is>
      </c>
      <c r="P75" s="4" t="inlineStr">
        <is>
          <t>29</t>
        </is>
      </c>
      <c r="Q75" s="4" t="inlineStr">
        <is>
          <t>Tumut to Sydney Transfer (at time of peak demand) 2,230 MW to 2,570 MW</t>
        </is>
      </c>
      <c r="R75" s="4" t="inlineStr"/>
      <c r="S75" s="4" t="inlineStr"/>
    </row>
    <row r="76">
      <c r="A76" s="4" t="inlineStr">
        <is>
          <t>HumeLink</t>
        </is>
      </c>
      <c r="B76" s="4" t="inlineStr">
        <is>
          <t>HUM-PROJECT-HUMELINK</t>
        </is>
      </c>
      <c r="C76" s="4" t="inlineStr">
        <is>
          <t>HUM-AO-2020-ISP-TRANSFER-HIGH</t>
        </is>
      </c>
      <c r="D76" s="4" t="inlineStr">
        <is>
          <t>capacity</t>
        </is>
      </c>
      <c r="E76" s="4" t="inlineStr">
        <is>
          <t>2020-07</t>
        </is>
      </c>
      <c r="F76" s="4" t="inlineStr">
        <is>
          <t>2020 ISP Tumut to Sydney transfer uplift, high</t>
        </is>
      </c>
      <c r="G76" s="4" t="n">
        <v>2570</v>
      </c>
      <c r="H76" s="4" t="inlineStr">
        <is>
          <t>MW</t>
        </is>
      </c>
      <c r="I76" s="4" t="n"/>
      <c r="J76" s="4" t="n"/>
      <c r="K76" s="4" t="inlineStr">
        <is>
          <t>Range high bound</t>
        </is>
      </c>
      <c r="L76" s="4" t="inlineStr">
        <is>
          <t>approximate network capability improvement / planner</t>
        </is>
      </c>
      <c r="M76" s="4" t="inlineStr">
        <is>
          <t>Tumut to Sydney transfer at time of peak demand</t>
        </is>
      </c>
      <c r="N76" s="4" t="inlineStr">
        <is>
          <t>Direction- and condition-specific transfer measure; not the same measure as REZ hosting capacity.</t>
        </is>
      </c>
      <c r="O76" s="4" t="inlineStr">
        <is>
          <t>HUM-AEMO-2020-ISP-A3</t>
        </is>
      </c>
      <c r="P76" s="4" t="inlineStr">
        <is>
          <t>29</t>
        </is>
      </c>
      <c r="Q76" s="4" t="inlineStr">
        <is>
          <t>Tumut to Sydney Transfer (at time of peak demand) 2,230 MW to 2,570 MW</t>
        </is>
      </c>
      <c r="R76" s="4" t="inlineStr"/>
      <c r="S76" s="4" t="inlineStr"/>
    </row>
    <row r="77">
      <c r="A77" s="4" t="inlineStr">
        <is>
          <t>HumeLink</t>
        </is>
      </c>
      <c r="B77" s="4" t="inlineStr">
        <is>
          <t>HUM-PROJECT-HUMELINK</t>
        </is>
      </c>
      <c r="C77" s="4" t="inlineStr">
        <is>
          <t>HUM-AO-2020-ISP-REZ-WAGGA</t>
        </is>
      </c>
      <c r="D77" s="4" t="inlineStr">
        <is>
          <t>capacity</t>
        </is>
      </c>
      <c r="E77" s="4" t="inlineStr">
        <is>
          <t>2020-07</t>
        </is>
      </c>
      <c r="F77" s="4" t="inlineStr">
        <is>
          <t>2020 ISP additional REZ hosting capacity, Wagga Wagga</t>
        </is>
      </c>
      <c r="G77" s="4" t="n">
        <v>1000</v>
      </c>
      <c r="H77" s="4" t="inlineStr">
        <is>
          <t>MW</t>
        </is>
      </c>
      <c r="I77" s="4" t="n"/>
      <c r="J77" s="4" t="n"/>
      <c r="K77" s="4" t="inlineStr">
        <is>
          <t>Not stated</t>
        </is>
      </c>
      <c r="L77" s="4" t="inlineStr">
        <is>
          <t>approximate network capability improvement / planner</t>
        </is>
      </c>
      <c r="M77" s="4" t="inlineStr">
        <is>
          <t>Additional REZ hosting capacity at Wagga Wagga; a hosting measure, not a transfer measure</t>
        </is>
      </c>
      <c r="N77" s="4" t="inlineStr">
        <is>
          <t>Different capacity concept from transfer capability; must not be added to the 2,200/2,570 MW figures.</t>
        </is>
      </c>
      <c r="O77" s="4" t="inlineStr">
        <is>
          <t>HUM-AEMO-2020-ISP-A3</t>
        </is>
      </c>
      <c r="P77" s="4" t="inlineStr">
        <is>
          <t>29</t>
        </is>
      </c>
      <c r="Q77" s="4" t="inlineStr">
        <is>
          <t>Wagga Wagga: +1,000 MW</t>
        </is>
      </c>
      <c r="R77" s="4" t="inlineStr"/>
      <c r="S77" s="4" t="inlineStr"/>
    </row>
    <row r="78">
      <c r="A78" s="4" t="inlineStr">
        <is>
          <t>HumeLink</t>
        </is>
      </c>
      <c r="B78" s="4" t="inlineStr">
        <is>
          <t>HUM-PROJECT-HUMELINK</t>
        </is>
      </c>
      <c r="C78" s="4" t="inlineStr">
        <is>
          <t>HUM-AO-2020-ISP-LENGTH</t>
        </is>
      </c>
      <c r="D78" s="4" t="inlineStr">
        <is>
          <t>trunk_km</t>
        </is>
      </c>
      <c r="E78" s="4" t="inlineStr">
        <is>
          <t>2020-07</t>
        </is>
      </c>
      <c r="F78" s="4" t="inlineStr">
        <is>
          <t>2020 ISP approximate length of proposed upgrades</t>
        </is>
      </c>
      <c r="G78" s="4" t="n">
        <v>630</v>
      </c>
      <c r="H78" s="4" t="inlineStr">
        <is>
          <t>km</t>
        </is>
      </c>
      <c r="I78" s="4" t="n"/>
      <c r="J78" s="4" t="n"/>
      <c r="K78" s="4" t="inlineStr">
        <is>
          <t>Approximate</t>
        </is>
      </c>
      <c r="L78" s="4" t="inlineStr">
        <is>
          <t>planner description of the candidate option</t>
        </is>
      </c>
      <c r="M78" s="4" t="inlineStr">
        <is>
          <t>Distance spanned by the proposed transmission upgrades; metric type (route-km or circuit-km) not labelled</t>
        </is>
      </c>
      <c r="N78" s="4" t="inlineStr">
        <is>
          <t>Not reconciled with the later 360 km and 365 km statements; the route-km versus circuit-km explanation is not stated in any archived source.</t>
        </is>
      </c>
      <c r="O78" s="4" t="inlineStr">
        <is>
          <t>HUM-AEMO-2020-ISP-A3</t>
        </is>
      </c>
      <c r="P78" s="4" t="inlineStr">
        <is>
          <t>29</t>
        </is>
      </c>
      <c r="Q78" s="4" t="inlineStr">
        <is>
          <t>span a distance of approximately 630 km</t>
        </is>
      </c>
      <c r="R78" s="4" t="inlineStr"/>
      <c r="S78" s="4" t="inlineStr">
        <is>
          <t>The PADR's Option 3C section lists section lengths of 260 km, 110 km and 260 km (PDF p. 27); no source performs that addition.</t>
        </is>
      </c>
    </row>
    <row r="79">
      <c r="A79" s="4" t="inlineStr">
        <is>
          <t>HumeLink</t>
        </is>
      </c>
      <c r="B79" s="4" t="inlineStr">
        <is>
          <t>HUM-PROJECT-HUMELINK</t>
        </is>
      </c>
      <c r="C79" s="4" t="inlineStr">
        <is>
          <t>HUM-AO-2020-ISP-TIMING</t>
        </is>
      </c>
      <c r="D79" s="4" t="inlineStr">
        <is>
          <t>completion</t>
        </is>
      </c>
      <c r="E79" s="4" t="inlineStr">
        <is>
          <t>2020-07</t>
        </is>
      </c>
      <c r="F79" s="4" t="inlineStr">
        <is>
          <t>2020 ISP actionable timing</t>
        </is>
      </c>
      <c r="G79" s="4" t="inlineStr">
        <is>
          <t>2025-26</t>
        </is>
      </c>
      <c r="H79" s="4" t="inlineStr">
        <is>
          <t>date</t>
        </is>
      </c>
      <c r="I79" s="4" t="n"/>
      <c r="J79" s="4" t="n"/>
      <c r="K79" s="4" t="inlineStr">
        <is>
          <t>Timed across all scenarios</t>
        </is>
      </c>
      <c r="L79" s="4" t="inlineStr">
        <is>
          <t>planner target</t>
        </is>
      </c>
      <c r="M79" s="4" t="inlineStr">
        <is>
          <t>Optimal development path timing for the actionable project</t>
        </is>
      </c>
      <c r="N79" s="4" t="inlineStr">
        <is>
          <t>Planner timing, later superseded; not a proponent delivery commitment.</t>
        </is>
      </c>
      <c r="O79" s="4" t="inlineStr">
        <is>
          <t>HUM-AEMO-2020-ISP-A3</t>
        </is>
      </c>
      <c r="P79" s="4" t="inlineStr">
        <is>
          <t>29</t>
        </is>
      </c>
      <c r="Q79" s="4" t="inlineStr">
        <is>
          <t>Timing HumeLink is an actionable project and is timed for 2025-26 across all scenarios.</t>
        </is>
      </c>
      <c r="R79" s="4" t="inlineStr"/>
      <c r="S79" s="4" t="inlineStr"/>
    </row>
    <row r="80">
      <c r="A80" s="4" t="inlineStr">
        <is>
          <t>HumeLink</t>
        </is>
      </c>
      <c r="B80" s="4" t="inlineStr">
        <is>
          <t>HUM-PROJECT-HUMELINK</t>
        </is>
      </c>
      <c r="C80" s="4" t="inlineStr">
        <is>
          <t>HUM-AO-2021-PACR-3C-TOTAL</t>
        </is>
      </c>
      <c r="D80" s="4" t="inlineStr">
        <is>
          <t>cost</t>
        </is>
      </c>
      <c r="E80" s="4" t="inlineStr">
        <is>
          <t>2021-07</t>
        </is>
      </c>
      <c r="F80" s="4" t="inlineStr">
        <is>
          <t>PACR Option 3C estimated capital cost</t>
        </is>
      </c>
      <c r="G80" s="4" t="n">
        <v>3317</v>
      </c>
      <c r="H80" s="4" t="inlineStr">
        <is>
          <t>AUD million</t>
        </is>
      </c>
      <c r="I80" s="4" t="inlineStr">
        <is>
          <t>real 2020/21 dollars</t>
        </is>
      </c>
      <c r="J80" s="4" t="inlineStr">
        <is>
          <t>AACE Class 4</t>
        </is>
      </c>
      <c r="K80" s="4" t="inlineStr">
        <is>
          <t>P50; typical Class 4 accuracy L -15% to -30%, H +20% to +50% (per addendum)</t>
        </is>
      </c>
      <c r="L80" s="4" t="inlineStr">
        <is>
          <t>RIT-T preferred option estimate / proponent</t>
        </is>
      </c>
      <c r="M80" s="4" t="inlineStr">
        <is>
          <t>Option 3C: three new 500 kV lines in an electrical loop between Maragle, Wagga Wagga and Bannaby, all constructed double-circuit; includes biodiversity offset cost</t>
        </is>
      </c>
      <c r="N80" s="4" t="inlineStr">
        <is>
          <t>Not like-for-like with the 2020 PADR $1,350m (configuration and maturity changed) nor with 2023-24 amounts (price basis, scope maturity and early-works rebundling differ).</t>
        </is>
      </c>
      <c r="O80" s="4" t="inlineStr">
        <is>
          <t>HUM-TG-2021-PACR</t>
        </is>
      </c>
      <c r="P80" s="4" t="inlineStr">
        <is>
          <t>59</t>
        </is>
      </c>
      <c r="Q80" s="4" t="inlineStr">
        <is>
          <t>approximately $3,317 million ($2020/21)</t>
        </is>
      </c>
      <c r="R80" s="4" t="inlineStr"/>
      <c r="S80" s="4" t="inlineStr">
        <is>
          <t>Estimate class and P-value are confirmed in the December 2021 PACR addendum, PDF p. 5.</t>
        </is>
      </c>
    </row>
    <row r="81">
      <c r="A81" s="4" t="inlineStr">
        <is>
          <t>HumeLink</t>
        </is>
      </c>
      <c r="B81" s="4" t="inlineStr">
        <is>
          <t>HUM-PROJECT-HUMELINK</t>
        </is>
      </c>
      <c r="C81" s="4" t="inlineStr">
        <is>
          <t>HUM-AO-2021-PACR-3C-LINES</t>
        </is>
      </c>
      <c r="D81" s="4" t="inlineStr">
        <is>
          <t>cost</t>
        </is>
      </c>
      <c r="E81" s="4" t="inlineStr">
        <is>
          <t>2021-07</t>
        </is>
      </c>
      <c r="F81" s="4" t="inlineStr">
        <is>
          <t>PACR Option 3C lines and substations component</t>
        </is>
      </c>
      <c r="G81" s="4" t="n">
        <v>2380</v>
      </c>
      <c r="H81" s="4" t="inlineStr">
        <is>
          <t>AUD million</t>
        </is>
      </c>
      <c r="I81" s="4" t="inlineStr">
        <is>
          <t>real 2020/21 dollars</t>
        </is>
      </c>
      <c r="J81" s="4" t="inlineStr">
        <is>
          <t>AACE Class 4</t>
        </is>
      </c>
      <c r="K81" s="4" t="inlineStr">
        <is>
          <t>Not separately stated</t>
        </is>
      </c>
      <c r="L81" s="4" t="inlineStr">
        <is>
          <t>component of the option estimate / proponent</t>
        </is>
      </c>
      <c r="M81" s="4" t="inlineStr">
        <is>
          <t>Lines and substations portion of Option 3C indicative capex</t>
        </is>
      </c>
      <c r="N81" s="4" t="inlineStr">
        <is>
          <t>A component of the $3,317m total; do not add to other totals.</t>
        </is>
      </c>
      <c r="O81" s="4" t="inlineStr">
        <is>
          <t>HUM-TG-2021-PACR</t>
        </is>
      </c>
      <c r="P81" s="4" t="inlineStr">
        <is>
          <t>30</t>
        </is>
      </c>
      <c r="Q81" s="4" t="inlineStr">
        <is>
          <t>Lines and substations: $2,380m</t>
        </is>
      </c>
      <c r="R81" s="4" t="inlineStr"/>
      <c r="S81" s="4" t="inlineStr"/>
    </row>
    <row r="82">
      <c r="A82" s="4" t="inlineStr">
        <is>
          <t>HumeLink</t>
        </is>
      </c>
      <c r="B82" s="4" t="inlineStr">
        <is>
          <t>HUM-PROJECT-HUMELINK</t>
        </is>
      </c>
      <c r="C82" s="4" t="inlineStr">
        <is>
          <t>HUM-AO-2021-PACR-3C-BIO</t>
        </is>
      </c>
      <c r="D82" s="4" t="inlineStr">
        <is>
          <t>cost</t>
        </is>
      </c>
      <c r="E82" s="4" t="inlineStr">
        <is>
          <t>2021-07</t>
        </is>
      </c>
      <c r="F82" s="4" t="inlineStr">
        <is>
          <t>PACR Option 3C biodiversity offset cost</t>
        </is>
      </c>
      <c r="G82" s="4" t="n">
        <v>935</v>
      </c>
      <c r="H82" s="4" t="inlineStr">
        <is>
          <t>AUD million</t>
        </is>
      </c>
      <c r="I82" s="4" t="inlineStr">
        <is>
          <t>real 2020/21 dollars</t>
        </is>
      </c>
      <c r="J82" s="4" t="inlineStr">
        <is>
          <t>AACE Class 4</t>
        </is>
      </c>
      <c r="K82" s="4" t="inlineStr">
        <is>
          <t>Not separately stated</t>
        </is>
      </c>
      <c r="L82" s="4" t="inlineStr">
        <is>
          <t>component of the option estimate / proponent</t>
        </is>
      </c>
      <c r="M82" s="4" t="inlineStr">
        <is>
          <t>Biodiversity offset cost portion of Option 3C indicative capex</t>
        </is>
      </c>
      <c r="N82" s="4" t="inlineStr">
        <is>
          <t>A component of the $3,317m total; do not add to other totals.</t>
        </is>
      </c>
      <c r="O82" s="4" t="inlineStr">
        <is>
          <t>HUM-TG-2021-PACR</t>
        </is>
      </c>
      <c r="P82" s="4" t="inlineStr">
        <is>
          <t>30</t>
        </is>
      </c>
      <c r="Q82" s="4" t="inlineStr">
        <is>
          <t>Biodiversity offset cost: $935m</t>
        </is>
      </c>
      <c r="R82" s="4" t="inlineStr"/>
      <c r="S82" s="4" t="inlineStr">
        <is>
          <t>Transgrid's 1 September 2021 response to the AER states the estimated biodiversity costs for the preferred option 3C as $953m (RFI PDF p. 2); the two figures are not reconciled in the archive.</t>
        </is>
      </c>
    </row>
    <row r="83">
      <c r="A83" s="4" t="inlineStr">
        <is>
          <t>HumeLink</t>
        </is>
      </c>
      <c r="B83" s="4" t="inlineStr">
        <is>
          <t>HUM-PROJECT-HUMELINK</t>
        </is>
      </c>
      <c r="C83" s="4" t="inlineStr">
        <is>
          <t>HUM-AO-2021-PACR-3C0</t>
        </is>
      </c>
      <c r="D83" s="4" t="inlineStr">
        <is>
          <t>cost</t>
        </is>
      </c>
      <c r="E83" s="4" t="inlineStr">
        <is>
          <t>2021-07</t>
        </is>
      </c>
      <c r="F83" s="4" t="inlineStr">
        <is>
          <t>PACR Option 3C-0 all single-circuit variant</t>
        </is>
      </c>
      <c r="G83" s="4" t="n">
        <v>4253</v>
      </c>
      <c r="H83" s="4" t="inlineStr">
        <is>
          <t>AUD million</t>
        </is>
      </c>
      <c r="I83" s="4" t="inlineStr">
        <is>
          <t>real 2020/21 dollars</t>
        </is>
      </c>
      <c r="J83" s="4" t="inlineStr">
        <is>
          <t>AACE Class 4</t>
        </is>
      </c>
      <c r="K83" s="4" t="inlineStr">
        <is>
          <t>Not separately stated</t>
        </is>
      </c>
      <c r="L83" s="4" t="inlineStr">
        <is>
          <t>credible option variant estimate / proponent</t>
        </is>
      </c>
      <c r="M83" s="4" t="inlineStr">
        <is>
          <t>Option 3C-0: the same electrical topology constructed as 100 per cent single-circuit (two lines of towers per section)</t>
        </is>
      </c>
      <c r="N83" s="4" t="inlineStr">
        <is>
          <t>An option variant within the same project version, not a later revision of Option 3C.</t>
        </is>
      </c>
      <c r="O83" s="4" t="inlineStr">
        <is>
          <t>HUM-TG-2021-PACR</t>
        </is>
      </c>
      <c r="P83" s="4" t="inlineStr">
        <is>
          <t>61</t>
        </is>
      </c>
      <c r="Q83" s="4" t="inlineStr">
        <is>
          <t>estimated capital cost of $4,253 million</t>
        </is>
      </c>
      <c r="R83" s="4" t="inlineStr"/>
      <c r="S83" s="4" t="inlineStr">
        <is>
          <t>Identified in the PACR as the 2020 ISP candidate option.</t>
        </is>
      </c>
    </row>
    <row r="84">
      <c r="A84" s="4" t="inlineStr">
        <is>
          <t>HumeLink</t>
        </is>
      </c>
      <c r="B84" s="4" t="inlineStr">
        <is>
          <t>HUM-PROJECT-HUMELINK</t>
        </is>
      </c>
      <c r="C84" s="4" t="inlineStr">
        <is>
          <t>HUM-AO-2021-PACR-3C1</t>
        </is>
      </c>
      <c r="D84" s="4" t="inlineStr">
        <is>
          <t>cost</t>
        </is>
      </c>
      <c r="E84" s="4" t="inlineStr">
        <is>
          <t>2021-07</t>
        </is>
      </c>
      <c r="F84" s="4" t="inlineStr">
        <is>
          <t>PACR Option 3C-1 mixed-circuit variant</t>
        </is>
      </c>
      <c r="G84" s="4" t="n">
        <v>3509</v>
      </c>
      <c r="H84" s="4" t="inlineStr">
        <is>
          <t>AUD million</t>
        </is>
      </c>
      <c r="I84" s="4" t="inlineStr">
        <is>
          <t>real 2020/21 dollars</t>
        </is>
      </c>
      <c r="J84" s="4" t="inlineStr">
        <is>
          <t>AACE Class 4</t>
        </is>
      </c>
      <c r="K84" s="4" t="inlineStr">
        <is>
          <t>Not separately stated</t>
        </is>
      </c>
      <c r="L84" s="4" t="inlineStr">
        <is>
          <t>credible option variant estimate / proponent</t>
        </is>
      </c>
      <c r="M84" s="4" t="inlineStr">
        <is>
          <t>Option 3C-1: primarily single-circuit with a 132 km double-circuit portion west of Bannaby</t>
        </is>
      </c>
      <c r="N84" s="4" t="inlineStr">
        <is>
          <t>An option variant within the same project version, not a later revision of Option 3C.</t>
        </is>
      </c>
      <c r="O84" s="4" t="inlineStr">
        <is>
          <t>HUM-TG-2021-PACR</t>
        </is>
      </c>
      <c r="P84" s="4" t="inlineStr">
        <is>
          <t>61</t>
        </is>
      </c>
      <c r="Q84" s="4" t="inlineStr">
        <is>
          <t>capital cost of $3,509 million;</t>
        </is>
      </c>
      <c r="R84" s="4" t="inlineStr"/>
      <c r="S84" s="4" t="inlineStr"/>
    </row>
    <row r="85">
      <c r="A85" s="4" t="inlineStr">
        <is>
          <t>HumeLink</t>
        </is>
      </c>
      <c r="B85" s="4" t="inlineStr">
        <is>
          <t>HUM-PROJECT-HUMELINK</t>
        </is>
      </c>
      <c r="C85" s="4" t="inlineStr">
        <is>
          <t>HUM-AO-2021-PACR-NETBENEFIT</t>
        </is>
      </c>
      <c r="D85" s="4" t="inlineStr">
        <is>
          <t>other</t>
        </is>
      </c>
      <c r="E85" s="4" t="inlineStr">
        <is>
          <t>2021-07</t>
        </is>
      </c>
      <c r="F85" s="4" t="inlineStr">
        <is>
          <t>PACR weighted net market benefit for Option 3C</t>
        </is>
      </c>
      <c r="G85" s="4" t="n">
        <v>491</v>
      </c>
      <c r="H85" s="4" t="inlineStr">
        <is>
          <t>AUD million</t>
        </is>
      </c>
      <c r="I85" s="4" t="inlineStr">
        <is>
          <t>real 2020/21 dollars</t>
        </is>
      </c>
      <c r="J85" s="4" t="n"/>
      <c r="K85" s="4" t="inlineStr">
        <is>
          <t>Weighted across four 2020 ISP scenarios</t>
        </is>
      </c>
      <c r="L85" s="4" t="inlineStr">
        <is>
          <t>RIT-T net market benefit, present value / proponent</t>
        </is>
      </c>
      <c r="M85" s="4" t="inlineStr">
        <is>
          <t>Weighted net benefits of Option 3C over the assessment period, present value, including competition benefits</t>
        </is>
      </c>
      <c r="N85" s="4" t="inlineStr">
        <is>
          <t>Not comparable with the 2022 ISP contribution figure, Transgrid's 2024 MCC $4.186bn or the AER's independent $1.523bn: different models, scenarios, horizons and cost assumptions.</t>
        </is>
      </c>
      <c r="O85" s="4" t="inlineStr">
        <is>
          <t>HUM-TG-2021-PACR</t>
        </is>
      </c>
      <c r="P85" s="4" t="inlineStr">
        <is>
          <t>55</t>
        </is>
      </c>
      <c r="Q85" s="4" t="inlineStr">
        <is>
          <t>approximately $491 million in net benefits</t>
        </is>
      </c>
      <c r="R85" s="4" t="inlineStr"/>
      <c r="S85" s="4" t="inlineStr"/>
    </row>
    <row r="86">
      <c r="A86" s="4" t="inlineStr">
        <is>
          <t>HumeLink</t>
        </is>
      </c>
      <c r="B86" s="4" t="inlineStr">
        <is>
          <t>HUM-PROJECT-HUMELINK</t>
        </is>
      </c>
      <c r="C86" s="4" t="inlineStr">
        <is>
          <t>HUM-AO-2021-PACR-LINES</t>
        </is>
      </c>
      <c r="D86" s="4" t="inlineStr">
        <is>
          <t>lines</t>
        </is>
      </c>
      <c r="E86" s="4" t="inlineStr">
        <is>
          <t>2021-07</t>
        </is>
      </c>
      <c r="F86" s="4" t="inlineStr">
        <is>
          <t>PACR Option 3C line sections</t>
        </is>
      </c>
      <c r="G86" s="4" t="n">
        <v>3</v>
      </c>
      <c r="H86" s="4" t="inlineStr">
        <is>
          <t>count</t>
        </is>
      </c>
      <c r="I86" s="4" t="n"/>
      <c r="J86" s="4" t="n"/>
      <c r="K86" s="4" t="inlineStr">
        <is>
          <t>Not stated</t>
        </is>
      </c>
      <c r="L86" s="4" t="inlineStr">
        <is>
          <t>RIT-T preferred option scope / proponent</t>
        </is>
      </c>
      <c r="M86" s="4" t="inlineStr">
        <is>
          <t>Three 500 kV transmission line sections forming the electrical loop (Maragle-Bannaby, Maragle-Wagga Wagga, Wagga Wagga-Bannaby), each constructed double-circuit</t>
        </is>
      </c>
      <c r="N86" s="4" t="inlineStr">
        <is>
          <t>The PACR warns that schematic lines represent circuits, not routes (PDF p. 30); the chart's 'lines' means lines of towers.</t>
        </is>
      </c>
      <c r="O86" s="4" t="inlineStr">
        <is>
          <t>HUM-TG-2021-PACR</t>
        </is>
      </c>
      <c r="P86" s="4" t="inlineStr">
        <is>
          <t>34</t>
        </is>
      </c>
      <c r="Q86" s="4" t="inlineStr">
        <is>
          <t>Construct three 500 kV transmission lines:</t>
        </is>
      </c>
      <c r="R86" s="4" t="inlineStr">
        <is>
          <t>selected</t>
        </is>
      </c>
      <c r="S86" s="4" t="inlineStr">
        <is>
          <t>The PACR states all lines are to be constructed in a double-circuit configuration (PDF pp. 2, 11).</t>
        </is>
      </c>
    </row>
    <row r="87">
      <c r="A87" s="4" t="inlineStr">
        <is>
          <t>HumeLink</t>
        </is>
      </c>
      <c r="B87" s="4" t="inlineStr">
        <is>
          <t>HUM-PROJECT-HUMELINK</t>
        </is>
      </c>
      <c r="C87" s="4" t="inlineStr">
        <is>
          <t>HUM-AO-2021-PACR-TX-MARAGLE</t>
        </is>
      </c>
      <c r="D87" s="4" t="inlineStr">
        <is>
          <t>transformers_mva</t>
        </is>
      </c>
      <c r="E87" s="4" t="inlineStr">
        <is>
          <t>2021-07</t>
        </is>
      </c>
      <c r="F87" s="4" t="inlineStr">
        <is>
          <t>PACR Option 3C transformers at Maragle</t>
        </is>
      </c>
      <c r="G87" s="4" t="n">
        <v>1500</v>
      </c>
      <c r="H87" s="4" t="inlineStr">
        <is>
          <t>MVA</t>
        </is>
      </c>
      <c r="I87" s="4" t="n"/>
      <c r="J87" s="4" t="n"/>
      <c r="K87" s="4" t="inlineStr">
        <is>
          <t>Not stated</t>
        </is>
      </c>
      <c r="L87" s="4" t="inlineStr">
        <is>
          <t>RIT-T preferred option scope / proponent</t>
        </is>
      </c>
      <c r="M87" s="4" t="inlineStr">
        <is>
          <t>Unit rating of each of three new 500/330/33 kV transformers at Maragle substation</t>
        </is>
      </c>
      <c r="N87" s="4" t="inlineStr">
        <is>
          <t>Unit rating as published; the source states a count of three and does not publish a cumulative MVA total.</t>
        </is>
      </c>
      <c r="O87" s="4" t="inlineStr">
        <is>
          <t>HUM-TG-2021-PACR</t>
        </is>
      </c>
      <c r="P87" s="4" t="inlineStr">
        <is>
          <t>34</t>
        </is>
      </c>
      <c r="Q87" s="4" t="inlineStr">
        <is>
          <t>Three new 500/330/33 kV 1,500 MVA transformers at Maragle substation and two new 500/330/33 kV 1,500 MVA transformers at new Wagga</t>
        </is>
      </c>
      <c r="R87" s="4" t="inlineStr"/>
      <c r="S87" s="4" t="inlineStr">
        <is>
          <t>Count = 3. No archived source multiplies or sums these ratings.</t>
        </is>
      </c>
    </row>
    <row r="88">
      <c r="A88" s="4" t="inlineStr">
        <is>
          <t>HumeLink</t>
        </is>
      </c>
      <c r="B88" s="4" t="inlineStr">
        <is>
          <t>HUM-PROJECT-HUMELINK</t>
        </is>
      </c>
      <c r="C88" s="4" t="inlineStr">
        <is>
          <t>HUM-AO-2021-PACR-TX-WAGGA</t>
        </is>
      </c>
      <c r="D88" s="4" t="inlineStr">
        <is>
          <t>transformers_mva</t>
        </is>
      </c>
      <c r="E88" s="4" t="inlineStr">
        <is>
          <t>2021-07</t>
        </is>
      </c>
      <c r="F88" s="4" t="inlineStr">
        <is>
          <t>PACR Option 3C transformers at new Wagga Wagga (Gugaa) substation</t>
        </is>
      </c>
      <c r="G88" s="4" t="n">
        <v>1500</v>
      </c>
      <c r="H88" s="4" t="inlineStr">
        <is>
          <t>MVA</t>
        </is>
      </c>
      <c r="I88" s="4" t="n"/>
      <c r="J88" s="4" t="n"/>
      <c r="K88" s="4" t="inlineStr">
        <is>
          <t>Not stated</t>
        </is>
      </c>
      <c r="L88" s="4" t="inlineStr">
        <is>
          <t>RIT-T preferred option scope / proponent</t>
        </is>
      </c>
      <c r="M88" s="4" t="inlineStr">
        <is>
          <t>Unit rating of each of two new 500/330/33 kV transformers at the new Wagga Wagga 500 kV substation, later named Gugaa</t>
        </is>
      </c>
      <c r="N88" s="4" t="inlineStr">
        <is>
          <t>Unit rating as published; the source states a count of two and does not publish a cumulative MVA total.</t>
        </is>
      </c>
      <c r="O88" s="4" t="inlineStr">
        <is>
          <t>HUM-TG-2021-PACR</t>
        </is>
      </c>
      <c r="P88" s="4" t="inlineStr">
        <is>
          <t>34</t>
        </is>
      </c>
      <c r="Q88" s="4" t="inlineStr">
        <is>
          <t>Three new 500/330/33 kV 1,500 MVA transformers at Maragle substation and two new 500/330/33 kV 1,500 MVA transformers at new Wagga</t>
        </is>
      </c>
      <c r="R88" s="4" t="inlineStr"/>
      <c r="S88" s="4" t="inlineStr">
        <is>
          <t>Count = 2. No archived source multiplies or sums these ratings.</t>
        </is>
      </c>
    </row>
    <row r="89">
      <c r="A89" s="4" t="inlineStr">
        <is>
          <t>HumeLink</t>
        </is>
      </c>
      <c r="B89" s="4" t="inlineStr">
        <is>
          <t>HUM-PROJECT-HUMELINK</t>
        </is>
      </c>
      <c r="C89" s="4" t="inlineStr">
        <is>
          <t>HUM-AO-2021-PACR-CAPACITY</t>
        </is>
      </c>
      <c r="D89" s="4" t="inlineStr">
        <is>
          <t>capacity</t>
        </is>
      </c>
      <c r="E89" s="4" t="inlineStr">
        <is>
          <t>2021-07</t>
        </is>
      </c>
      <c r="F89" s="4" t="inlineStr">
        <is>
          <t>PACR Option 3C additional generation accommodated</t>
        </is>
      </c>
      <c r="G89" s="4" t="n">
        <v>2570</v>
      </c>
      <c r="H89" s="4" t="inlineStr">
        <is>
          <t>MW</t>
        </is>
      </c>
      <c r="I89" s="4" t="n"/>
      <c r="J89" s="4" t="n"/>
      <c r="K89" s="4" t="inlineStr">
        <is>
          <t>Preliminary modelling</t>
        </is>
      </c>
      <c r="L89" s="4" t="inlineStr">
        <is>
          <t>indicative proponent modelling</t>
        </is>
      </c>
      <c r="M89" s="4" t="inlineStr">
        <is>
          <t>Additional generation that could be accommodated at times of average import from VIC and average renewable generation in southern NSW</t>
        </is>
      </c>
      <c r="N89" s="4" t="inlineStr">
        <is>
          <t>Different measure from the 2026 ISP 2,200 MW transfer-capability increase in both directions.</t>
        </is>
      </c>
      <c r="O89" s="4" t="inlineStr">
        <is>
          <t>HUM-TG-2021-PACR</t>
        </is>
      </c>
      <c r="P89" s="4" t="inlineStr">
        <is>
          <t>34</t>
        </is>
      </c>
      <c r="Q89" s="4" t="inlineStr">
        <is>
          <t>additional 2,570 MW generation could be accommodated</t>
        </is>
      </c>
      <c r="R89" s="4" t="inlineStr"/>
      <c r="S89" s="4" t="inlineStr"/>
    </row>
    <row r="90">
      <c r="A90" s="4" t="inlineStr">
        <is>
          <t>HumeLink</t>
        </is>
      </c>
      <c r="B90" s="4" t="inlineStr">
        <is>
          <t>HUM-PROJECT-HUMELINK</t>
        </is>
      </c>
      <c r="C90" s="4" t="inlineStr">
        <is>
          <t>HUM-AO-2021-RFI-CIRCUITS</t>
        </is>
      </c>
      <c r="D90" s="4" t="inlineStr">
        <is>
          <t>circuits</t>
        </is>
      </c>
      <c r="E90" s="4" t="inlineStr">
        <is>
          <t>2021-09</t>
        </is>
      </c>
      <c r="F90" s="4" t="inlineStr">
        <is>
          <t>Transgrid confirmation of circuits per line of towers</t>
        </is>
      </c>
      <c r="G90" s="4" t="n">
        <v>2</v>
      </c>
      <c r="H90" s="4" t="inlineStr">
        <is>
          <t>count</t>
        </is>
      </c>
      <c r="I90" s="4" t="n"/>
      <c r="J90" s="4" t="n"/>
      <c r="K90" s="4" t="inlineStr">
        <is>
          <t>Not stated</t>
        </is>
      </c>
      <c r="L90" s="4" t="inlineStr">
        <is>
          <t>proponent clarification to the regulator</t>
        </is>
      </c>
      <c r="M90" s="4" t="inlineStr">
        <is>
          <t>Option 3C as all-double-circuit: two circuits on one double-circuit tower, i.e. one line of towers per line section</t>
        </is>
      </c>
      <c r="N90" s="4" t="inlineStr">
        <is>
          <t>Resolves circuit-versus-tower-line terminology for each section; it does not resolve the eventual geographic route or the project-wide circuit count.</t>
        </is>
      </c>
      <c r="O90" s="4" t="inlineStr">
        <is>
          <t>HUM-TG-2021-RFI1</t>
        </is>
      </c>
      <c r="P90" s="4" t="inlineStr">
        <is>
          <t>2</t>
        </is>
      </c>
      <c r="Q90" s="4" t="inlineStr">
        <is>
          <t>two circuits are constructed on one double circuit</t>
        </is>
      </c>
      <c r="R90" s="4" t="inlineStr">
        <is>
          <t>selected</t>
        </is>
      </c>
      <c r="S90" s="4" t="inlineStr">
        <is>
          <t>The same response confirms a complete double circuit configuration between all three substation locations.</t>
        </is>
      </c>
    </row>
    <row r="91">
      <c r="A91" s="4" t="inlineStr">
        <is>
          <t>HumeLink</t>
        </is>
      </c>
      <c r="B91" s="4" t="inlineStr">
        <is>
          <t>HUM-PROJECT-HUMELINK</t>
        </is>
      </c>
      <c r="C91" s="4" t="inlineStr">
        <is>
          <t>HUM-AO-2021-ADD-1CNEW</t>
        </is>
      </c>
      <c r="D91" s="4" t="inlineStr">
        <is>
          <t>cost</t>
        </is>
      </c>
      <c r="E91" s="4" t="inlineStr">
        <is>
          <t>2021-12</t>
        </is>
      </c>
      <c r="F91" s="4" t="inlineStr">
        <is>
          <t>PACR addendum Option 1C-new estimated capital cost</t>
        </is>
      </c>
      <c r="G91" s="4" t="n">
        <v>2695</v>
      </c>
      <c r="H91" s="4" t="inlineStr">
        <is>
          <t>AUD million</t>
        </is>
      </c>
      <c r="I91" s="4" t="inlineStr">
        <is>
          <t>real 2020/21 dollars</t>
        </is>
      </c>
      <c r="J91" s="4" t="inlineStr">
        <is>
          <t>AACE Class 4</t>
        </is>
      </c>
      <c r="K91" s="4" t="inlineStr">
        <is>
          <t>P50; typical Class 4 accuracy L: -15% to -30%, H: +20% to +50%</t>
        </is>
      </c>
      <c r="L91" s="4" t="inlineStr">
        <is>
          <t>regulator-required credible option estimate / proponent</t>
        </is>
      </c>
      <c r="M91" s="4" t="inlineStr">
        <is>
          <t>Option 1C-new: a single new double-circuit 500 kV line between Maragle and Bannaby (274 km), added at the AER's direction</t>
        </is>
      </c>
      <c r="N91" s="4" t="inlineStr">
        <is>
          <t>An option, not a HumeLink project version; not a revision of the $3,317m Option 3C estimate.</t>
        </is>
      </c>
      <c r="O91" s="4" t="inlineStr">
        <is>
          <t>HUM-TG-2021-PACR-ADD</t>
        </is>
      </c>
      <c r="P91" s="4" t="inlineStr">
        <is>
          <t>5</t>
        </is>
      </c>
      <c r="Q91" s="4" t="inlineStr">
        <is>
          <t>The estimated capital cost of this option is approximately $2,695 million</t>
        </is>
      </c>
      <c r="R91" s="4" t="inlineStr"/>
      <c r="S91" s="4" t="inlineStr"/>
    </row>
    <row r="92">
      <c r="A92" s="4" t="inlineStr">
        <is>
          <t>HumeLink</t>
        </is>
      </c>
      <c r="B92" s="4" t="inlineStr">
        <is>
          <t>HUM-PROJECT-HUMELINK</t>
        </is>
      </c>
      <c r="C92" s="4" t="inlineStr">
        <is>
          <t>HUM-AO-2021-ADD-1CNEW-BIO</t>
        </is>
      </c>
      <c r="D92" s="4" t="inlineStr">
        <is>
          <t>cost</t>
        </is>
      </c>
      <c r="E92" s="4" t="inlineStr">
        <is>
          <t>2021-12</t>
        </is>
      </c>
      <c r="F92" s="4" t="inlineStr">
        <is>
          <t>PACR addendum Option 1C-new biodiversity cost</t>
        </is>
      </c>
      <c r="G92" s="4" t="n">
        <v>858</v>
      </c>
      <c r="H92" s="4" t="inlineStr">
        <is>
          <t>AUD million</t>
        </is>
      </c>
      <c r="I92" s="4" t="inlineStr">
        <is>
          <t>real 2020/21 dollars</t>
        </is>
      </c>
      <c r="J92" s="4" t="inlineStr">
        <is>
          <t>AACE Class 4</t>
        </is>
      </c>
      <c r="K92" s="4" t="inlineStr">
        <is>
          <t>Included within the P50 option estimate</t>
        </is>
      </c>
      <c r="L92" s="4" t="inlineStr">
        <is>
          <t>component of an option estimate / proponent</t>
        </is>
      </c>
      <c r="M92" s="4" t="inlineStr">
        <is>
          <t>Biodiversity cost included within the Option 1C-new estimate</t>
        </is>
      </c>
      <c r="N92" s="4" t="inlineStr">
        <is>
          <t>A component of the $2,695m option estimate.</t>
        </is>
      </c>
      <c r="O92" s="4" t="inlineStr">
        <is>
          <t>HUM-TG-2021-PACR-ADD</t>
        </is>
      </c>
      <c r="P92" s="4" t="inlineStr">
        <is>
          <t>5</t>
        </is>
      </c>
      <c r="Q92" s="4" t="inlineStr">
        <is>
          <t>which includes $858 million of</t>
        </is>
      </c>
      <c r="R92" s="4" t="inlineStr"/>
      <c r="S92" s="4" t="inlineStr"/>
    </row>
    <row r="93">
      <c r="A93" s="4" t="inlineStr">
        <is>
          <t>HumeLink</t>
        </is>
      </c>
      <c r="B93" s="4" t="inlineStr">
        <is>
          <t>HUM-PROJECT-HUMELINK</t>
        </is>
      </c>
      <c r="C93" s="4" t="inlineStr">
        <is>
          <t>HUM-AO-2021-ADD-1CNEW-CAPACITY</t>
        </is>
      </c>
      <c r="D93" s="4" t="inlineStr">
        <is>
          <t>capacity</t>
        </is>
      </c>
      <c r="E93" s="4" t="inlineStr">
        <is>
          <t>2021-12</t>
        </is>
      </c>
      <c r="F93" s="4" t="inlineStr">
        <is>
          <t>PACR addendum Option 1C-new additional generation accommodated</t>
        </is>
      </c>
      <c r="G93" s="4" t="n">
        <v>2510</v>
      </c>
      <c r="H93" s="4" t="inlineStr">
        <is>
          <t>MW</t>
        </is>
      </c>
      <c r="I93" s="4" t="n"/>
      <c r="J93" s="4" t="n"/>
      <c r="K93" s="4" t="inlineStr">
        <is>
          <t>Preliminary modelling</t>
        </is>
      </c>
      <c r="L93" s="4" t="inlineStr">
        <is>
          <t>indicative proponent modelling</t>
        </is>
      </c>
      <c r="M93" s="4" t="inlineStr">
        <is>
          <t>Additional generation accommodated under Option 1C-new</t>
        </is>
      </c>
      <c r="N93" s="4" t="inlineStr">
        <is>
          <t>An option-level measure; not a HumeLink project capacity.</t>
        </is>
      </c>
      <c r="O93" s="4" t="inlineStr">
        <is>
          <t>HUM-TG-2021-PACR-ADD</t>
        </is>
      </c>
      <c r="P93" s="4" t="inlineStr">
        <is>
          <t>5</t>
        </is>
      </c>
      <c r="Q93" s="4" t="inlineStr">
        <is>
          <t>an additional 2,510 MW generation could be accommodated</t>
        </is>
      </c>
      <c r="R93" s="4" t="inlineStr"/>
      <c r="S93" s="4" t="inlineStr"/>
    </row>
    <row r="94">
      <c r="A94" s="4" t="inlineStr">
        <is>
          <t>HumeLink</t>
        </is>
      </c>
      <c r="B94" s="4" t="inlineStr">
        <is>
          <t>HUM-PROJECT-HUMELINK</t>
        </is>
      </c>
      <c r="C94" s="4" t="inlineStr">
        <is>
          <t>HUM-AO-2022-FL1-TOTAL</t>
        </is>
      </c>
      <c r="D94" s="4" t="inlineStr">
        <is>
          <t>cost</t>
        </is>
      </c>
      <c r="E94" s="4" t="inlineStr">
        <is>
          <t>2022-01</t>
        </is>
      </c>
      <c r="F94" s="4" t="inlineStr">
        <is>
          <t>Feedback loop 1 total project cost estimate</t>
        </is>
      </c>
      <c r="G94" s="4" t="n">
        <v>3317</v>
      </c>
      <c r="H94" s="4" t="inlineStr">
        <is>
          <t>AUD million</t>
        </is>
      </c>
      <c r="I94" s="4" t="inlineStr">
        <is>
          <t>real 2020-21 dollars</t>
        </is>
      </c>
      <c r="J94" s="4" t="n"/>
      <c r="K94" s="4" t="inlineStr">
        <is>
          <t>Not stated</t>
        </is>
      </c>
      <c r="L94" s="4" t="inlineStr">
        <is>
          <t>feedback-loop confirmation input / proponent estimate reported by planner</t>
        </is>
      </c>
      <c r="M94" s="4" t="inlineStr">
        <is>
          <t>Total HumeLink project cost as stated in Transgrid's feedback loop request, inclusive of early works</t>
        </is>
      </c>
      <c r="N94" s="4" t="inlineStr">
        <is>
          <t>A feedback-loop confirmation is not a prudency determination and does not turn a proponent estimate into approved capex.</t>
        </is>
      </c>
      <c r="O94" s="4" t="inlineStr">
        <is>
          <t>HUM-AEMO-2022-FL1</t>
        </is>
      </c>
      <c r="P94" s="4" t="inlineStr">
        <is>
          <t>1</t>
        </is>
      </c>
      <c r="Q94" s="4" t="inlineStr">
        <is>
          <t>estimate for the project is $3,317 million, which includes $330 million for early works.</t>
        </is>
      </c>
      <c r="R94" s="4" t="inlineStr"/>
      <c r="S94" s="4" t="inlineStr"/>
    </row>
    <row r="95">
      <c r="A95" s="4" t="inlineStr">
        <is>
          <t>HumeLink</t>
        </is>
      </c>
      <c r="B95" s="4" t="inlineStr">
        <is>
          <t>HUM-PROJECT-HUMELINK</t>
        </is>
      </c>
      <c r="C95" s="4" t="inlineStr">
        <is>
          <t>HUM-AO-2022-FL1-EW</t>
        </is>
      </c>
      <c r="D95" s="4" t="inlineStr">
        <is>
          <t>cost</t>
        </is>
      </c>
      <c r="E95" s="4" t="inlineStr">
        <is>
          <t>2022-01</t>
        </is>
      </c>
      <c r="F95" s="4" t="inlineStr">
        <is>
          <t>Feedback loop 1 early works cost estimate</t>
        </is>
      </c>
      <c r="G95" s="4" t="n">
        <v>330</v>
      </c>
      <c r="H95" s="4" t="inlineStr">
        <is>
          <t>AUD million</t>
        </is>
      </c>
      <c r="I95" s="4" t="inlineStr">
        <is>
          <t>real 2020-21 dollars</t>
        </is>
      </c>
      <c r="J95" s="4" t="n"/>
      <c r="K95" s="4" t="inlineStr">
        <is>
          <t>Not stated</t>
        </is>
      </c>
      <c r="L95" s="4" t="inlineStr">
        <is>
          <t>feedback-loop confirmation input / proponent estimate reported by planner</t>
        </is>
      </c>
      <c r="M95" s="4" t="inlineStr">
        <is>
          <t>Early works stage only, inside the $3,317m total</t>
        </is>
      </c>
      <c r="N95" s="4" t="inlineStr">
        <is>
          <t>A stage inside the total; never add it to the total.</t>
        </is>
      </c>
      <c r="O95" s="4" t="inlineStr">
        <is>
          <t>HUM-AEMO-2022-FL1</t>
        </is>
      </c>
      <c r="P95" s="4" t="inlineStr">
        <is>
          <t>1</t>
        </is>
      </c>
      <c r="Q95" s="4" t="inlineStr">
        <is>
          <t>estimate for the project is $3,317 million, which includes $330 million for early works.</t>
        </is>
      </c>
      <c r="R95" s="4" t="inlineStr"/>
      <c r="S95" s="4" t="inlineStr"/>
    </row>
    <row r="96">
      <c r="A96" s="4" t="inlineStr">
        <is>
          <t>HumeLink</t>
        </is>
      </c>
      <c r="B96" s="4" t="inlineStr">
        <is>
          <t>HUM-PROJECT-HUMELINK</t>
        </is>
      </c>
      <c r="C96" s="4" t="inlineStr">
        <is>
          <t>HUM-AO-2022-FL1-EQUIV-TOTAL</t>
        </is>
      </c>
      <c r="D96" s="4" t="inlineStr">
        <is>
          <t>cost</t>
        </is>
      </c>
      <c r="E96" s="4" t="inlineStr">
        <is>
          <t>2022-01</t>
        </is>
      </c>
      <c r="F96" s="4" t="inlineStr">
        <is>
          <t>Feedback loop 1 total expressed in 2017-18 dollars</t>
        </is>
      </c>
      <c r="G96" s="4" t="n">
        <v>3280</v>
      </c>
      <c r="H96" s="4" t="inlineStr">
        <is>
          <t>AUD million</t>
        </is>
      </c>
      <c r="I96" s="4" t="inlineStr">
        <is>
          <t>real 2017-18 dollars</t>
        </is>
      </c>
      <c r="J96" s="4" t="n"/>
      <c r="K96" s="4" t="inlineStr">
        <is>
          <t>Not stated</t>
        </is>
      </c>
      <c r="L96" s="4" t="inlineStr">
        <is>
          <t>price-basis equivalent of the same observation</t>
        </is>
      </c>
      <c r="M96" s="4" t="inlineStr">
        <is>
          <t>Same total project cost, converted price basis</t>
        </is>
      </c>
      <c r="N96" s="4" t="inlineStr">
        <is>
          <t>An equivalence of the $3,317m observation, not a later or different estimate.</t>
        </is>
      </c>
      <c r="O96" s="4" t="inlineStr">
        <is>
          <t>HUM-AEMO-2022-FL1</t>
        </is>
      </c>
      <c r="P96" s="4" t="inlineStr">
        <is>
          <t>1</t>
        </is>
      </c>
      <c r="Q96" s="4" t="inlineStr">
        <is>
          <t>These costs are equivalent to $3.28 billion and $327.6 million in real 2017-18 dollars.</t>
        </is>
      </c>
      <c r="R96" s="4" t="inlineStr"/>
      <c r="S96" s="4" t="inlineStr">
        <is>
          <t>Published as $3.28 billion.</t>
        </is>
      </c>
    </row>
    <row r="97">
      <c r="A97" s="4" t="inlineStr">
        <is>
          <t>HumeLink</t>
        </is>
      </c>
      <c r="B97" s="4" t="inlineStr">
        <is>
          <t>HUM-PROJECT-HUMELINK</t>
        </is>
      </c>
      <c r="C97" s="4" t="inlineStr">
        <is>
          <t>HUM-AO-2022-FL1-EQUIV-EW</t>
        </is>
      </c>
      <c r="D97" s="4" t="inlineStr">
        <is>
          <t>cost</t>
        </is>
      </c>
      <c r="E97" s="4" t="inlineStr">
        <is>
          <t>2022-01</t>
        </is>
      </c>
      <c r="F97" s="4" t="inlineStr">
        <is>
          <t>Feedback loop 1 early works expressed in 2017-18 dollars</t>
        </is>
      </c>
      <c r="G97" s="4" t="n">
        <v>327.6</v>
      </c>
      <c r="H97" s="4" t="inlineStr">
        <is>
          <t>AUD million</t>
        </is>
      </c>
      <c r="I97" s="4" t="inlineStr">
        <is>
          <t>real 2017-18 dollars</t>
        </is>
      </c>
      <c r="J97" s="4" t="n"/>
      <c r="K97" s="4" t="inlineStr">
        <is>
          <t>Not stated</t>
        </is>
      </c>
      <c r="L97" s="4" t="inlineStr">
        <is>
          <t>price-basis equivalent of the same observation</t>
        </is>
      </c>
      <c r="M97" s="4" t="inlineStr">
        <is>
          <t>Same early works stage cost, converted price basis</t>
        </is>
      </c>
      <c r="N97" s="4" t="inlineStr">
        <is>
          <t>An equivalence of the $330m observation, not a later or different estimate.</t>
        </is>
      </c>
      <c r="O97" s="4" t="inlineStr">
        <is>
          <t>HUM-AEMO-2022-FL1</t>
        </is>
      </c>
      <c r="P97" s="4" t="inlineStr">
        <is>
          <t>1</t>
        </is>
      </c>
      <c r="Q97" s="4" t="inlineStr">
        <is>
          <t>These costs are equivalent to $3.28 billion and $327.6 million in real 2017-18 dollars.</t>
        </is>
      </c>
      <c r="R97" s="4" t="inlineStr"/>
      <c r="S97" s="4" t="inlineStr"/>
    </row>
    <row r="98">
      <c r="A98" s="4" t="inlineStr">
        <is>
          <t>HumeLink</t>
        </is>
      </c>
      <c r="B98" s="4" t="inlineStr">
        <is>
          <t>HUM-PROJECT-HUMELINK</t>
        </is>
      </c>
      <c r="C98" s="4" t="inlineStr">
        <is>
          <t>HUM-AO-2022-CPA1-PROPOSED</t>
        </is>
      </c>
      <c r="D98" s="4" t="inlineStr">
        <is>
          <t>cost</t>
        </is>
      </c>
      <c r="E98" s="4" t="inlineStr">
        <is>
          <t>2022-04</t>
        </is>
      </c>
      <c r="F98" s="4" t="inlineStr">
        <is>
          <t>Stage 1 (early works) CPA proposed forecast capex</t>
        </is>
      </c>
      <c r="G98" s="4" t="n">
        <v>321.9</v>
      </c>
      <c r="H98" s="4" t="inlineStr">
        <is>
          <t>AUD million</t>
        </is>
      </c>
      <c r="I98" s="4" t="inlineStr">
        <is>
          <t>real 2017-18 dollars</t>
        </is>
      </c>
      <c r="J98" s="4" t="n"/>
      <c r="K98" s="4" t="inlineStr">
        <is>
          <t>Not stated</t>
        </is>
      </c>
      <c r="L98" s="4" t="inlineStr">
        <is>
          <t>application / proponent proposal to the regulator</t>
        </is>
      </c>
      <c r="M98" s="4" t="inlineStr">
        <is>
          <t>Stage 1 (early works) only: design, procurement, land, approvals, engagement and project management</t>
        </is>
      </c>
      <c r="N98" s="4" t="inlineStr">
        <is>
          <t>An application value. Keep distinct from the AER's determination and from feedback-loop totals.</t>
        </is>
      </c>
      <c r="O98" s="4" t="inlineStr">
        <is>
          <t>HUM-AER-2022-CPA1P1</t>
        </is>
      </c>
      <c r="P98" s="4" t="inlineStr">
        <is>
          <t>5</t>
        </is>
      </c>
      <c r="Q98" s="4" t="inlineStr">
        <is>
          <t>Transgrid’s application proposed $321.9 million ($2017-18) in forecast capex to undertake</t>
        </is>
      </c>
      <c r="R98" s="4" t="inlineStr"/>
      <c r="S98" s="4" t="inlineStr"/>
    </row>
    <row r="99">
      <c r="A99" s="4" t="inlineStr">
        <is>
          <t>HumeLink</t>
        </is>
      </c>
      <c r="B99" s="4" t="inlineStr">
        <is>
          <t>HUM-PROJECT-HUMELINK</t>
        </is>
      </c>
      <c r="C99" s="4" t="inlineStr">
        <is>
          <t>HUM-AO-2022-AER-CPA1-ALLOWED</t>
        </is>
      </c>
      <c r="D99" s="4" t="inlineStr">
        <is>
          <t>cost</t>
        </is>
      </c>
      <c r="E99" s="4" t="inlineStr">
        <is>
          <t>2022-08</t>
        </is>
      </c>
      <c r="F99" s="4" t="inlineStr">
        <is>
          <t>AER Stage 1 (Part 1) determined forecast capex</t>
        </is>
      </c>
      <c r="G99" s="4" t="n">
        <v>321.9</v>
      </c>
      <c r="H99" s="4" t="inlineStr">
        <is>
          <t>AUD million</t>
        </is>
      </c>
      <c r="I99" s="4" t="inlineStr">
        <is>
          <t>real 2017-18 dollars</t>
        </is>
      </c>
      <c r="J99" s="4" t="n"/>
      <c r="K99" s="4" t="inlineStr">
        <is>
          <t>Not stated</t>
        </is>
      </c>
      <c r="L99" s="4" t="inlineStr">
        <is>
          <t>approved / regulator determination</t>
        </is>
      </c>
      <c r="M99" s="4" t="inlineStr">
        <is>
          <t>Stage 1 (early works) forecast capex to be commissioned; excludes equity raising costs</t>
        </is>
      </c>
      <c r="N99" s="4" t="inlineStr">
        <is>
          <t>A regulatory allowance, not a proponent estimate and not an outturn. Equal in value to the proposal but a different observation type.</t>
        </is>
      </c>
      <c r="O99" s="4" t="inlineStr">
        <is>
          <t>HUM-AER-2022-CPA1P1</t>
        </is>
      </c>
      <c r="P99" s="4" t="inlineStr">
        <is>
          <t>18-19</t>
        </is>
      </c>
      <c r="Q99" s="4" t="inlineStr">
        <is>
          <t>$321.9 million ($2017-18) is a prudent</t>
        </is>
      </c>
      <c r="R99" s="4" t="inlineStr"/>
      <c r="S99" s="4" t="inlineStr">
        <is>
          <t>The AER accepted Transgrid's proposed forecast capex and noted it is within AEMO's feedback-loop confirmation of $327.6 million.</t>
        </is>
      </c>
    </row>
    <row r="100">
      <c r="A100" s="4" t="inlineStr">
        <is>
          <t>HumeLink</t>
        </is>
      </c>
      <c r="B100" s="4" t="inlineStr">
        <is>
          <t>HUM-PROJECT-HUMELINK</t>
        </is>
      </c>
      <c r="C100" s="4" t="inlineStr">
        <is>
          <t>HUM-AO-2022-AER-CPA1-REVENUE</t>
        </is>
      </c>
      <c r="D100" s="4" t="inlineStr">
        <is>
          <t>other</t>
        </is>
      </c>
      <c r="E100" s="4" t="inlineStr">
        <is>
          <t>2022-08</t>
        </is>
      </c>
      <c r="F100" s="4" t="inlineStr">
        <is>
          <t>AER Stage 1 (Part 1) incremental revenue allowance</t>
        </is>
      </c>
      <c r="G100" s="4" t="n">
        <v>71.40000000000001</v>
      </c>
      <c r="H100" s="4" t="inlineStr">
        <is>
          <t>AUD million</t>
        </is>
      </c>
      <c r="I100" s="4" t="inlineStr">
        <is>
          <t>nominal dollars</t>
        </is>
      </c>
      <c r="J100" s="4" t="n"/>
      <c r="K100" s="4" t="inlineStr">
        <is>
          <t>Indicative</t>
        </is>
      </c>
      <c r="L100" s="4" t="inlineStr">
        <is>
          <t>approved / regulator determination</t>
        </is>
      </c>
      <c r="M100" s="4" t="inlineStr">
        <is>
          <t>Incremental revenue to be recovered from customers over 2024-25 to 2027-28; a revenue measure, not capex</t>
        </is>
      </c>
      <c r="N100" s="4" t="inlineStr">
        <is>
          <t>A different economic concept from capex; never place it in a cost series or add it to capex amounts.</t>
        </is>
      </c>
      <c r="O100" s="4" t="inlineStr">
        <is>
          <t>HUM-AER-2022-CPA1P1</t>
        </is>
      </c>
      <c r="P100" s="4" t="inlineStr">
        <is>
          <t>24</t>
        </is>
      </c>
      <c r="Q100" s="4" t="inlineStr">
        <is>
          <t>Table 6 shows Transgrid is to recover $71.4 million ($ nominal) in indicative additional</t>
        </is>
      </c>
      <c r="R100" s="4" t="inlineStr"/>
      <c r="S100" s="4" t="inlineStr"/>
    </row>
    <row r="101">
      <c r="A101" s="4" t="inlineStr">
        <is>
          <t>HumeLink</t>
        </is>
      </c>
      <c r="B101" s="4" t="inlineStr">
        <is>
          <t>HUM-PROJECT-HUMELINK</t>
        </is>
      </c>
      <c r="C101" s="4" t="inlineStr">
        <is>
          <t>HUM-AO-2022-AER-LENGTH</t>
        </is>
      </c>
      <c r="D101" s="4" t="inlineStr">
        <is>
          <t>trunk_km</t>
        </is>
      </c>
      <c r="E101" s="4" t="inlineStr">
        <is>
          <t>2022-08</t>
        </is>
      </c>
      <c r="F101" s="4" t="inlineStr">
        <is>
          <t>AER 2022 description of new 500 kV line length</t>
        </is>
      </c>
      <c r="G101" s="4" t="n">
        <v>360</v>
      </c>
      <c r="H101" s="4" t="inlineStr">
        <is>
          <t>km</t>
        </is>
      </c>
      <c r="I101" s="4" t="n"/>
      <c r="J101" s="4" t="n"/>
      <c r="K101" s="4" t="inlineStr">
        <is>
          <t>Approximate</t>
        </is>
      </c>
      <c r="L101" s="4" t="inlineStr">
        <is>
          <t>regulator contextual description</t>
        </is>
      </c>
      <c r="M101" s="4" t="inlineStr">
        <is>
          <t>New 500 kV transmission lines involved in HumeLink; metric type not labelled</t>
        </is>
      </c>
      <c r="N101" s="4" t="inlineStr">
        <is>
          <t>Not reconciled with the 2020 ISP 630 km or the 2024 approval's 365 km; the archive does not state which metric each figure uses.</t>
        </is>
      </c>
      <c r="O101" s="4" t="inlineStr">
        <is>
          <t>HUM-AER-2022-CPA1P1</t>
        </is>
      </c>
      <c r="P101" s="4" t="inlineStr">
        <is>
          <t>9</t>
        </is>
      </c>
      <c r="Q101" s="4" t="inlineStr">
        <is>
          <t>involves around 360 kilometres of new 500 kilovolts (kV) transmission lines, which will</t>
        </is>
      </c>
      <c r="R101" s="4" t="inlineStr"/>
      <c r="S101" s="4" t="inlineStr"/>
    </row>
    <row r="102">
      <c r="A102" s="4" t="inlineStr">
        <is>
          <t>HumeLink</t>
        </is>
      </c>
      <c r="B102" s="4" t="inlineStr">
        <is>
          <t>HUM-PROJECT-HUMELINK</t>
        </is>
      </c>
      <c r="C102" s="4" t="inlineStr">
        <is>
          <t>HUM-AO-2022-ISP-STAGE1</t>
        </is>
      </c>
      <c r="D102" s="4" t="inlineStr">
        <is>
          <t>cost</t>
        </is>
      </c>
      <c r="E102" s="4" t="inlineStr">
        <is>
          <t>2022-06</t>
        </is>
      </c>
      <c r="F102" s="4" t="inlineStr">
        <is>
          <t>2022 ISP HumeLink stage 1 cost estimate</t>
        </is>
      </c>
      <c r="G102" s="4" t="n">
        <v>330</v>
      </c>
      <c r="H102" s="4" t="inlineStr">
        <is>
          <t>AUD million</t>
        </is>
      </c>
      <c r="I102" s="4" t="n"/>
      <c r="J102" s="4" t="n"/>
      <c r="K102" s="4" t="inlineStr">
        <is>
          <t>Not stated in the table row</t>
        </is>
      </c>
      <c r="L102" s="4" t="inlineStr">
        <is>
          <t>ISP staged estimate / planner</t>
        </is>
      </c>
      <c r="M102" s="4" t="inlineStr">
        <is>
          <t>Stage 1 (early works) as represented in the 2022 ISP actionable-projects table</t>
        </is>
      </c>
      <c r="N102" s="4" t="inlineStr">
        <is>
          <t>The ISP row does not restate a price basis; do not compare directly with the AER's $2017-18 or $2022-23 amounts.</t>
        </is>
      </c>
      <c r="O102" s="4" t="inlineStr">
        <is>
          <t>HUM-AEMO-2022-ISP</t>
        </is>
      </c>
      <c r="P102" s="4" t="inlineStr">
        <is>
          <t>67</t>
        </is>
      </c>
      <c r="Q102" s="4" t="inlineStr">
        <is>
          <t>Cost estimates of $330 million (stage 1) and $2,985 million</t>
        </is>
      </c>
      <c r="R102" s="4" t="inlineStr"/>
      <c r="S102" s="4" t="inlineStr">
        <is>
          <t>Price basis not stated in the row; recorded under PRICE_BASIS_UNKNOWN.</t>
        </is>
      </c>
    </row>
    <row r="103">
      <c r="A103" s="4" t="inlineStr">
        <is>
          <t>HumeLink</t>
        </is>
      </c>
      <c r="B103" s="4" t="inlineStr">
        <is>
          <t>HUM-PROJECT-HUMELINK</t>
        </is>
      </c>
      <c r="C103" s="4" t="inlineStr">
        <is>
          <t>HUM-AO-2022-ISP-STAGE2</t>
        </is>
      </c>
      <c r="D103" s="4" t="inlineStr">
        <is>
          <t>cost</t>
        </is>
      </c>
      <c r="E103" s="4" t="inlineStr">
        <is>
          <t>2022-06</t>
        </is>
      </c>
      <c r="F103" s="4" t="inlineStr">
        <is>
          <t>2022 ISP HumeLink stage 2 cost estimate</t>
        </is>
      </c>
      <c r="G103" s="4" t="n">
        <v>2985</v>
      </c>
      <c r="H103" s="4" t="inlineStr">
        <is>
          <t>AUD million</t>
        </is>
      </c>
      <c r="I103" s="4" t="n"/>
      <c r="J103" s="4" t="n"/>
      <c r="K103" s="4" t="inlineStr">
        <is>
          <t>Not stated in the table row</t>
        </is>
      </c>
      <c r="L103" s="4" t="inlineStr">
        <is>
          <t>ISP staged estimate / planner</t>
        </is>
      </c>
      <c r="M103" s="4" t="inlineStr">
        <is>
          <t>Stage 2 (implementation) as represented in the 2022 ISP actionable-projects table</t>
        </is>
      </c>
      <c r="N103" s="4" t="inlineStr">
        <is>
          <t>The ISP row does not restate a price basis. The archive does not publish a stage 1 plus stage 2 total; do not add them.</t>
        </is>
      </c>
      <c r="O103" s="4" t="inlineStr">
        <is>
          <t>HUM-AEMO-2022-ISP</t>
        </is>
      </c>
      <c r="P103" s="4" t="inlineStr">
        <is>
          <t>67</t>
        </is>
      </c>
      <c r="Q103" s="4" t="inlineStr">
        <is>
          <t>Cost estimates of $330 million (stage 1) and $2,985 million</t>
        </is>
      </c>
      <c r="R103" s="4" t="inlineStr"/>
      <c r="S103" s="4" t="inlineStr">
        <is>
          <t>Price basis not stated in the row; recorded under PRICE_BASIS_UNKNOWN.</t>
        </is>
      </c>
    </row>
    <row r="104">
      <c r="A104" s="4" t="inlineStr">
        <is>
          <t>HumeLink</t>
        </is>
      </c>
      <c r="B104" s="4" t="inlineStr">
        <is>
          <t>HUM-PROJECT-HUMELINK</t>
        </is>
      </c>
      <c r="C104" s="4" t="inlineStr">
        <is>
          <t>HUM-AO-2022-ISP-BENEFIT</t>
        </is>
      </c>
      <c r="D104" s="4" t="inlineStr">
        <is>
          <t>other</t>
        </is>
      </c>
      <c r="E104" s="4" t="inlineStr">
        <is>
          <t>2022-06</t>
        </is>
      </c>
      <c r="F104" s="4" t="inlineStr">
        <is>
          <t>2022 ISP HumeLink contribution to ODP net market benefits</t>
        </is>
      </c>
      <c r="G104" s="4" t="n">
        <v>1300</v>
      </c>
      <c r="H104" s="4" t="inlineStr">
        <is>
          <t>AUD million</t>
        </is>
      </c>
      <c r="I104" s="4" t="n"/>
      <c r="J104" s="4" t="n"/>
      <c r="K104" s="4" t="inlineStr">
        <is>
          <t>Approximate</t>
        </is>
      </c>
      <c r="L104" s="4" t="inlineStr">
        <is>
          <t>ISP modelled contribution / planner</t>
        </is>
      </c>
      <c r="M104" s="4" t="inlineStr">
        <is>
          <t>HumeLink's contribution to the $24.5 billion net market benefits of the optimal development path</t>
        </is>
      </c>
      <c r="N104" s="4" t="inlineStr">
        <is>
          <t>A modelled contribution to a whole-of-system plan, not a RIT-T net benefit; not comparable with the PACR's $491m without a modelling crosswalk.</t>
        </is>
      </c>
      <c r="O104" s="4" t="inlineStr">
        <is>
          <t>HUM-AEMO-2022-ISP</t>
        </is>
      </c>
      <c r="P104" s="4" t="inlineStr">
        <is>
          <t>68</t>
        </is>
      </c>
      <c r="Q104" s="4" t="inlineStr">
        <is>
          <t>HumeLink would contribute roughly $1.3 billion of the $24.5 billion in net market benefits delivered by the ODP</t>
        </is>
      </c>
      <c r="R104" s="4" t="inlineStr"/>
      <c r="S104" s="4" t="inlineStr"/>
    </row>
    <row r="105">
      <c r="A105" s="4" t="inlineStr">
        <is>
          <t>HumeLink</t>
        </is>
      </c>
      <c r="B105" s="4" t="inlineStr">
        <is>
          <t>HUM-PROJECT-HUMELINK</t>
        </is>
      </c>
      <c r="C105" s="4" t="inlineStr">
        <is>
          <t>HUM-AO-2022-ISP-TIMING</t>
        </is>
      </c>
      <c r="D105" s="4" t="inlineStr">
        <is>
          <t>completion</t>
        </is>
      </c>
      <c r="E105" s="4" t="inlineStr">
        <is>
          <t>2022-06</t>
        </is>
      </c>
      <c r="F105" s="4" t="inlineStr">
        <is>
          <t>2022 ISP actionable delivery date</t>
        </is>
      </c>
      <c r="G105" s="4" t="inlineStr">
        <is>
          <t>2026-07</t>
        </is>
      </c>
      <c r="H105" s="4" t="inlineStr">
        <is>
          <t>date</t>
        </is>
      </c>
      <c r="I105" s="4" t="n"/>
      <c r="J105" s="4" t="n"/>
      <c r="K105" s="4" t="inlineStr">
        <is>
          <t>To be progressed urgently</t>
        </is>
      </c>
      <c r="L105" s="4" t="inlineStr">
        <is>
          <t>planner delivery target</t>
        </is>
      </c>
      <c r="M105" s="4" t="inlineStr">
        <is>
          <t>Actionable ISP delivery date for HumeLink</t>
        </is>
      </c>
      <c r="N105" s="4" t="inlineStr">
        <is>
          <t>Superseded by later proponent and planner dates; not an achieved date.</t>
        </is>
      </c>
      <c r="O105" s="4" t="inlineStr">
        <is>
          <t>HUM-AEMO-2022-ISP</t>
        </is>
      </c>
      <c r="P105" s="4" t="inlineStr">
        <is>
          <t>67</t>
        </is>
      </c>
      <c r="Q105" s="4" t="inlineStr">
        <is>
          <t>HumeLink  July 2026  A 500 kV transmission upgrade connecting Project EnergyConnect</t>
        </is>
      </c>
      <c r="R105" s="4" t="inlineStr"/>
      <c r="S105" s="4" t="inlineStr"/>
    </row>
    <row r="106">
      <c r="A106" s="4" t="inlineStr">
        <is>
          <t>HumeLink</t>
        </is>
      </c>
      <c r="B106" s="4" t="inlineStr">
        <is>
          <t>HUM-PROJECT-HUMELINK</t>
        </is>
      </c>
      <c r="C106" s="4" t="inlineStr">
        <is>
          <t>HUM-AO-2023-FL2-LLE</t>
        </is>
      </c>
      <c r="D106" s="4" t="inlineStr">
        <is>
          <t>cost</t>
        </is>
      </c>
      <c r="E106" s="4" t="inlineStr">
        <is>
          <t>2023-05</t>
        </is>
      </c>
      <c r="F106" s="4" t="inlineStr">
        <is>
          <t>Feedback loop 2 long-lead equipment cost</t>
        </is>
      </c>
      <c r="G106" s="4" t="n">
        <v>209.6</v>
      </c>
      <c r="H106" s="4" t="inlineStr">
        <is>
          <t>AUD million</t>
        </is>
      </c>
      <c r="I106" s="4" t="inlineStr">
        <is>
          <t>real 2017-18 dollars</t>
        </is>
      </c>
      <c r="J106" s="4" t="n"/>
      <c r="K106" s="4" t="inlineStr">
        <is>
          <t>Not stated</t>
        </is>
      </c>
      <c r="L106" s="4" t="inlineStr">
        <is>
          <t>feedback-loop confirmation input / proponent estimate reported by planner</t>
        </is>
      </c>
      <c r="M106" s="4" t="inlineStr">
        <is>
          <t>Long-lead equipment (substation transformers, reactors, conductors and steel) brought into early works</t>
        </is>
      </c>
      <c r="N106" s="4" t="inlineStr">
        <is>
          <t>A rebundling of scope between stages; AEMO states the estimate for the entire project remains unchanged.</t>
        </is>
      </c>
      <c r="O106" s="4" t="inlineStr">
        <is>
          <t>HUM-AEMO-2023-FL2</t>
        </is>
      </c>
      <c r="P106" s="4" t="inlineStr">
        <is>
          <t>2</t>
        </is>
      </c>
      <c r="Q106" s="4" t="inlineStr">
        <is>
          <t>long-lead equipment forecast capex of $209.6</t>
        </is>
      </c>
      <c r="R106" s="4" t="inlineStr"/>
      <c r="S106" s="4" t="inlineStr"/>
    </row>
    <row r="107">
      <c r="A107" s="4" t="inlineStr">
        <is>
          <t>HumeLink</t>
        </is>
      </c>
      <c r="B107" s="4" t="inlineStr">
        <is>
          <t>HUM-PROJECT-HUMELINK</t>
        </is>
      </c>
      <c r="C107" s="4" t="inlineStr">
        <is>
          <t>HUM-AO-2023-FL2-EW-TOTAL</t>
        </is>
      </c>
      <c r="D107" s="4" t="inlineStr">
        <is>
          <t>cost</t>
        </is>
      </c>
      <c r="E107" s="4" t="inlineStr">
        <is>
          <t>2023-05</t>
        </is>
      </c>
      <c r="F107" s="4" t="inlineStr">
        <is>
          <t>Feedback loop 2 total early works cost</t>
        </is>
      </c>
      <c r="G107" s="4" t="n">
        <v>531.5</v>
      </c>
      <c r="H107" s="4" t="inlineStr">
        <is>
          <t>AUD million</t>
        </is>
      </c>
      <c r="I107" s="4" t="inlineStr">
        <is>
          <t>real 2017-18 dollars</t>
        </is>
      </c>
      <c r="J107" s="4" t="n"/>
      <c r="K107" s="4" t="inlineStr">
        <is>
          <t>Not stated</t>
        </is>
      </c>
      <c r="L107" s="4" t="inlineStr">
        <is>
          <t>feedback-loop confirmation input / proponent estimate reported by planner</t>
        </is>
      </c>
      <c r="M107" s="4" t="inlineStr">
        <is>
          <t>Total early works for HumeLink after adding long-lead equipment to the $321.9m already approved</t>
        </is>
      </c>
      <c r="N107" s="4" t="inlineStr">
        <is>
          <t>Not project cost growth: the same notice records that the cost estimate for the entire project remains unchanged.</t>
        </is>
      </c>
      <c r="O107" s="4" t="inlineStr">
        <is>
          <t>HUM-AEMO-2023-FL2</t>
        </is>
      </c>
      <c r="P107" s="4" t="inlineStr">
        <is>
          <t>2</t>
        </is>
      </c>
      <c r="Q107" s="4" t="inlineStr">
        <is>
          <t>HumeLink are $531.5 million.</t>
        </is>
      </c>
      <c r="R107" s="4" t="inlineStr"/>
      <c r="S107" s="4" t="inlineStr"/>
    </row>
    <row r="108">
      <c r="A108" s="4" t="inlineStr">
        <is>
          <t>HumeLink</t>
        </is>
      </c>
      <c r="B108" s="4" t="inlineStr">
        <is>
          <t>HUM-PROJECT-HUMELINK</t>
        </is>
      </c>
      <c r="C108" s="4" t="inlineStr">
        <is>
          <t>HUM-AO-2023-CPA1P2-PROPOSED</t>
        </is>
      </c>
      <c r="D108" s="4" t="inlineStr">
        <is>
          <t>cost</t>
        </is>
      </c>
      <c r="E108" s="4" t="inlineStr">
        <is>
          <t>2023-05</t>
        </is>
      </c>
      <c r="F108" s="4" t="inlineStr">
        <is>
          <t>Stage 1 (Part 2) CPA proposed forecast capex</t>
        </is>
      </c>
      <c r="G108" s="4" t="n">
        <v>226.7</v>
      </c>
      <c r="H108" s="4" t="inlineStr">
        <is>
          <t>AUD million</t>
        </is>
      </c>
      <c r="I108" s="4" t="inlineStr">
        <is>
          <t>real 2022-23 dollars</t>
        </is>
      </c>
      <c r="J108" s="4" t="n"/>
      <c r="K108" s="4" t="inlineStr">
        <is>
          <t>Not stated</t>
        </is>
      </c>
      <c r="L108" s="4" t="inlineStr">
        <is>
          <t>application / proponent proposal to the regulator</t>
        </is>
      </c>
      <c r="M108" s="4" t="inlineStr">
        <is>
          <t>Stage 1 (Part 2) early works: procurement of long lead equipment only</t>
        </is>
      </c>
      <c r="N108" s="4" t="inlineStr">
        <is>
          <t>An application value on a different price basis from Stage 1 Part 1; keep distinct from the determination.</t>
        </is>
      </c>
      <c r="O108" s="4" t="inlineStr">
        <is>
          <t>HUM-AER-2023-CPA1P2</t>
        </is>
      </c>
      <c r="P108" s="4" t="inlineStr">
        <is>
          <t>6</t>
        </is>
      </c>
      <c r="Q108" s="4" t="inlineStr">
        <is>
          <t>Transgrid’s application proposed $226.7 million ($2022-23) in forecast capex to undertake</t>
        </is>
      </c>
      <c r="R108" s="4" t="inlineStr"/>
      <c r="S108" s="4" t="inlineStr"/>
    </row>
    <row r="109">
      <c r="A109" s="4" t="inlineStr">
        <is>
          <t>HumeLink</t>
        </is>
      </c>
      <c r="B109" s="4" t="inlineStr">
        <is>
          <t>HUM-PROJECT-HUMELINK</t>
        </is>
      </c>
      <c r="C109" s="4" t="inlineStr">
        <is>
          <t>HUM-AO-2023-AER-CPA1P2-ALLOWED</t>
        </is>
      </c>
      <c r="D109" s="4" t="inlineStr">
        <is>
          <t>cost</t>
        </is>
      </c>
      <c r="E109" s="4" t="inlineStr">
        <is>
          <t>2023-08</t>
        </is>
      </c>
      <c r="F109" s="4" t="inlineStr">
        <is>
          <t>AER Stage 1 (Part 2) final decision capex</t>
        </is>
      </c>
      <c r="G109" s="4" t="n">
        <v>227.9</v>
      </c>
      <c r="H109" s="4" t="inlineStr">
        <is>
          <t>AUD million</t>
        </is>
      </c>
      <c r="I109" s="4" t="inlineStr">
        <is>
          <t>real 2022-23 dollars</t>
        </is>
      </c>
      <c r="J109" s="4" t="n"/>
      <c r="K109" s="4" t="inlineStr">
        <is>
          <t>Not stated</t>
        </is>
      </c>
      <c r="L109" s="4" t="inlineStr">
        <is>
          <t>approved / regulator determination</t>
        </is>
      </c>
      <c r="M109" s="4" t="inlineStr">
        <is>
          <t>Stage 1 (Part 2) early works allowance for long lead equipment</t>
        </is>
      </c>
      <c r="N109" s="4" t="inlineStr">
        <is>
          <t>A regulatory allowance on a 2022-23 basis; do not add to the $321.9m 2017-18 Part 1 allowance across mixed bases.</t>
        </is>
      </c>
      <c r="O109" s="4" t="inlineStr">
        <is>
          <t>HUM-AER-2023-CPA1P2</t>
        </is>
      </c>
      <c r="P109" s="4" t="inlineStr">
        <is>
          <t>4</t>
        </is>
      </c>
      <c r="Q109" s="4" t="inlineStr">
        <is>
          <t>AER final decision HumeLink stage 1 (part 2) $227.9 million</t>
        </is>
      </c>
      <c r="R109" s="4" t="inlineStr"/>
      <c r="S109" s="4" t="inlineStr"/>
    </row>
    <row r="110">
      <c r="A110" s="4" t="inlineStr">
        <is>
          <t>HumeLink</t>
        </is>
      </c>
      <c r="B110" s="4" t="inlineStr">
        <is>
          <t>HUM-PROJECT-HUMELINK</t>
        </is>
      </c>
      <c r="C110" s="4" t="inlineStr">
        <is>
          <t>HUM-AO-2023-AER-DESCRIPTION</t>
        </is>
      </c>
      <c r="D110" s="4" t="inlineStr">
        <is>
          <t>cost</t>
        </is>
      </c>
      <c r="E110" s="4" t="inlineStr">
        <is>
          <t>2023-08</t>
        </is>
      </c>
      <c r="F110" s="4" t="inlineStr">
        <is>
          <t>AER contextual description of total project cost</t>
        </is>
      </c>
      <c r="G110" s="4" t="n">
        <v>3900</v>
      </c>
      <c r="H110" s="4" t="inlineStr">
        <is>
          <t>AUD million</t>
        </is>
      </c>
      <c r="I110" s="4" t="inlineStr">
        <is>
          <t>real 2022-23 dollars</t>
        </is>
      </c>
      <c r="J110" s="4" t="n"/>
      <c r="K110" s="4" t="inlineStr">
        <is>
          <t>Not stated</t>
        </is>
      </c>
      <c r="L110" s="4" t="inlineStr">
        <is>
          <t>contextual descriptor in a determination / regulator</t>
        </is>
      </c>
      <c r="M110" s="4" t="inlineStr">
        <is>
          <t>Whole HumeLink project as described in the determination's introduction; not the amount determined</t>
        </is>
      </c>
      <c r="N110" s="4" t="inlineStr">
        <is>
          <t>A descriptive figure, not an allowance and not a proponent estimate; do not chart it against the $4.88bn or $4.5735bn amounts.</t>
        </is>
      </c>
      <c r="O110" s="4" t="inlineStr">
        <is>
          <t>HUM-AER-2023-CPA1P2</t>
        </is>
      </c>
      <c r="P110" s="4" t="inlineStr">
        <is>
          <t>8</t>
        </is>
      </c>
      <c r="Q110" s="4" t="inlineStr">
        <is>
          <t>HumeLink is a $3.9 billion ($2022-23) transmission update linking Greater Sydney load area</t>
        </is>
      </c>
      <c r="R110" s="4" t="inlineStr"/>
      <c r="S110" s="4" t="inlineStr">
        <is>
          <t>Published as $3.9 billion.</t>
        </is>
      </c>
    </row>
    <row r="111">
      <c r="A111" s="4" t="inlineStr">
        <is>
          <t>HumeLink</t>
        </is>
      </c>
      <c r="B111" s="4" t="inlineStr">
        <is>
          <t>HUM-PROJECT-HUMELINK</t>
        </is>
      </c>
      <c r="C111" s="4" t="inlineStr">
        <is>
          <t>HUM-AO-2023-AER-LENGTH</t>
        </is>
      </c>
      <c r="D111" s="4" t="inlineStr">
        <is>
          <t>trunk_km</t>
        </is>
      </c>
      <c r="E111" s="4" t="inlineStr">
        <is>
          <t>2023-08</t>
        </is>
      </c>
      <c r="F111" s="4" t="inlineStr">
        <is>
          <t>AER 2023 description of new 500 kV line length</t>
        </is>
      </c>
      <c r="G111" s="4" t="n">
        <v>360</v>
      </c>
      <c r="H111" s="4" t="inlineStr">
        <is>
          <t>km</t>
        </is>
      </c>
      <c r="I111" s="4" t="n"/>
      <c r="J111" s="4" t="n"/>
      <c r="K111" s="4" t="inlineStr">
        <is>
          <t>Not stated</t>
        </is>
      </c>
      <c r="L111" s="4" t="inlineStr">
        <is>
          <t>regulator contextual description</t>
        </is>
      </c>
      <c r="M111" s="4" t="inlineStr">
        <is>
          <t>New 500 kV transmission lines involved in HumeLink; metric type not labelled</t>
        </is>
      </c>
      <c r="N111" s="4" t="inlineStr">
        <is>
          <t>Not reconciled with 630 km (2020 ISP) or 365 km (2024 approval and 2026 ISP).</t>
        </is>
      </c>
      <c r="O111" s="4" t="inlineStr">
        <is>
          <t>HUM-AER-2023-CPA1P2</t>
        </is>
      </c>
      <c r="P111" s="4" t="inlineStr">
        <is>
          <t>8</t>
        </is>
      </c>
      <c r="Q111" s="4" t="inlineStr">
        <is>
          <t>360 km of new 500 kilovolts (kV) transmission lines, which will expand transmission in</t>
        </is>
      </c>
      <c r="R111" s="4" t="inlineStr"/>
      <c r="S111" s="4" t="inlineStr"/>
    </row>
    <row r="112">
      <c r="A112" s="4" t="inlineStr">
        <is>
          <t>HumeLink</t>
        </is>
      </c>
      <c r="B112" s="4" t="inlineStr">
        <is>
          <t>HUM-PROJECT-HUMELINK</t>
        </is>
      </c>
      <c r="C112" s="4" t="inlineStr">
        <is>
          <t>HUM-AO-2023-FL3-TOTAL</t>
        </is>
      </c>
      <c r="D112" s="4" t="inlineStr">
        <is>
          <t>cost</t>
        </is>
      </c>
      <c r="E112" s="4" t="inlineStr">
        <is>
          <t>2023-12</t>
        </is>
      </c>
      <c r="F112" s="4" t="inlineStr">
        <is>
          <t>Feedback loop 3 total project cost</t>
        </is>
      </c>
      <c r="G112" s="4" t="n">
        <v>4880</v>
      </c>
      <c r="H112" s="4" t="inlineStr">
        <is>
          <t>AUD million</t>
        </is>
      </c>
      <c r="I112" s="4" t="inlineStr">
        <is>
          <t>real 2022-23 dollars</t>
        </is>
      </c>
      <c r="J112" s="4" t="n"/>
      <c r="K112" s="4" t="inlineStr">
        <is>
          <t>Not stated</t>
        </is>
      </c>
      <c r="L112" s="4" t="inlineStr">
        <is>
          <t>feedback-loop confirmation input / proponent estimate reported by planner</t>
        </is>
      </c>
      <c r="M112" s="4" t="inlineStr">
        <is>
          <t>Whole HumeLink project: delivery plus early works already approved; excludes equity raising costs of $33.14 million</t>
        </is>
      </c>
      <c r="N112" s="4" t="inlineStr">
        <is>
          <t>Not an approved amount. Not comparable with the AER's $4,573.5m all-stage allowance, which is a regulatory substitution.</t>
        </is>
      </c>
      <c r="O112" s="4" t="inlineStr">
        <is>
          <t>HUM-AEMO-2023-FL3</t>
        </is>
      </c>
      <c r="P112" s="4" t="inlineStr">
        <is>
          <t>2</t>
        </is>
      </c>
      <c r="Q112" s="4" t="inlineStr">
        <is>
          <t>the total cost of the project, $4.88 billion ($2022-23),</t>
        </is>
      </c>
      <c r="R112" s="4" t="inlineStr"/>
      <c r="S112" s="4" t="inlineStr">
        <is>
          <t>Published as $4.88 billion.</t>
        </is>
      </c>
    </row>
    <row r="113">
      <c r="A113" s="4" t="inlineStr">
        <is>
          <t>HumeLink</t>
        </is>
      </c>
      <c r="B113" s="4" t="inlineStr">
        <is>
          <t>HUM-PROJECT-HUMELINK</t>
        </is>
      </c>
      <c r="C113" s="4" t="inlineStr">
        <is>
          <t>HUM-AO-2023-FL3-DELIVERY</t>
        </is>
      </c>
      <c r="D113" s="4" t="inlineStr">
        <is>
          <t>cost</t>
        </is>
      </c>
      <c r="E113" s="4" t="inlineStr">
        <is>
          <t>2023-12</t>
        </is>
      </c>
      <c r="F113" s="4" t="inlineStr">
        <is>
          <t>Feedback loop 3 project delivery component</t>
        </is>
      </c>
      <c r="G113" s="4" t="n">
        <v>4280</v>
      </c>
      <c r="H113" s="4" t="inlineStr">
        <is>
          <t>AUD million</t>
        </is>
      </c>
      <c r="I113" s="4" t="inlineStr">
        <is>
          <t>real 2022-23 dollars</t>
        </is>
      </c>
      <c r="J113" s="4" t="n"/>
      <c r="K113" s="4" t="inlineStr">
        <is>
          <t>Not stated</t>
        </is>
      </c>
      <c r="L113" s="4" t="inlineStr">
        <is>
          <t>feedback-loop confirmation input / proponent estimate reported by planner</t>
        </is>
      </c>
      <c r="M113" s="4" t="inlineStr">
        <is>
          <t>Project delivery portion of the $4.88 billion total</t>
        </is>
      </c>
      <c r="N113" s="4" t="inlineStr">
        <is>
          <t>A component of the total; do not add to the early-works component and the total together.</t>
        </is>
      </c>
      <c r="O113" s="4" t="inlineStr">
        <is>
          <t>HUM-AEMO-2023-FL3</t>
        </is>
      </c>
      <c r="P113" s="4" t="inlineStr">
        <is>
          <t>2</t>
        </is>
      </c>
      <c r="Q113" s="4" t="inlineStr">
        <is>
          <t>– $4.28 billion for project delivery, and</t>
        </is>
      </c>
      <c r="R113" s="4" t="inlineStr"/>
      <c r="S113" s="4" t="inlineStr">
        <is>
          <t>Published as $4.28 billion.</t>
        </is>
      </c>
    </row>
    <row r="114">
      <c r="A114" s="4" t="inlineStr">
        <is>
          <t>HumeLink</t>
        </is>
      </c>
      <c r="B114" s="4" t="inlineStr">
        <is>
          <t>HUM-PROJECT-HUMELINK</t>
        </is>
      </c>
      <c r="C114" s="4" t="inlineStr">
        <is>
          <t>HUM-AO-2023-FL3-EARLYWORKS</t>
        </is>
      </c>
      <c r="D114" s="4" t="inlineStr">
        <is>
          <t>cost</t>
        </is>
      </c>
      <c r="E114" s="4" t="inlineStr">
        <is>
          <t>2023-12</t>
        </is>
      </c>
      <c r="F114" s="4" t="inlineStr">
        <is>
          <t>Feedback loop 3 approved early works component</t>
        </is>
      </c>
      <c r="G114" s="4" t="n">
        <v>600</v>
      </c>
      <c r="H114" s="4" t="inlineStr">
        <is>
          <t>AUD million</t>
        </is>
      </c>
      <c r="I114" s="4" t="inlineStr">
        <is>
          <t>real 2022-23 dollars</t>
        </is>
      </c>
      <c r="J114" s="4" t="n"/>
      <c r="K114" s="4" t="inlineStr">
        <is>
          <t>Rounded</t>
        </is>
      </c>
      <c r="L114" s="4" t="inlineStr">
        <is>
          <t>feedback-loop confirmation input / proponent estimate reported by planner</t>
        </is>
      </c>
      <c r="M114" s="4" t="inlineStr">
        <is>
          <t>Early works activities already approved in contingent project applications, inside the $4.88 billion total</t>
        </is>
      </c>
      <c r="N114" s="4" t="inlineStr">
        <is>
          <t>A rounded restatement of previously approved early works on a different price basis from $321.9m and $531.5m.</t>
        </is>
      </c>
      <c r="O114" s="4" t="inlineStr">
        <is>
          <t>HUM-AEMO-2023-FL3</t>
        </is>
      </c>
      <c r="P114" s="4" t="inlineStr">
        <is>
          <t>2</t>
        </is>
      </c>
      <c r="Q114" s="4" t="inlineStr">
        <is>
          <t>– $0.6 billion for early works activities already</t>
        </is>
      </c>
      <c r="R114" s="4" t="inlineStr"/>
      <c r="S114" s="4" t="inlineStr">
        <is>
          <t>Published as $0.6 billion.</t>
        </is>
      </c>
    </row>
    <row r="115">
      <c r="A115" s="4" t="inlineStr">
        <is>
          <t>HumeLink</t>
        </is>
      </c>
      <c r="B115" s="4" t="inlineStr">
        <is>
          <t>HUM-PROJECT-HUMELINK</t>
        </is>
      </c>
      <c r="C115" s="4" t="inlineStr">
        <is>
          <t>HUM-AO-2023-FL3-EW-APPROVED-2022</t>
        </is>
      </c>
      <c r="D115" s="4" t="inlineStr">
        <is>
          <t>cost</t>
        </is>
      </c>
      <c r="E115" s="4" t="inlineStr">
        <is>
          <t>2023-12</t>
        </is>
      </c>
      <c r="F115" s="4" t="inlineStr">
        <is>
          <t>Early works approved in August 2022 as restated by AEMO</t>
        </is>
      </c>
      <c r="G115" s="4" t="n">
        <v>375.6</v>
      </c>
      <c r="H115" s="4" t="inlineStr">
        <is>
          <t>AUD million</t>
        </is>
      </c>
      <c r="I115" s="4" t="n"/>
      <c r="J115" s="4" t="n"/>
      <c r="K115" s="4" t="inlineStr">
        <is>
          <t>Not stated</t>
        </is>
      </c>
      <c r="L115" s="4" t="inlineStr">
        <is>
          <t>planner restatement of an earlier approval</t>
        </is>
      </c>
      <c r="M115" s="4" t="inlineStr">
        <is>
          <t>Early works capex approved by the AER on 17 August 2022, as restated in the feedback-loop chronology</t>
        </is>
      </c>
      <c r="N115" s="4" t="inlineStr">
        <is>
          <t>Restates the same August 2022 decision the AER records as $321.9 million ($2017-18); the price basis of $375.6m is not stated here.</t>
        </is>
      </c>
      <c r="O115" s="4" t="inlineStr">
        <is>
          <t>HUM-AEMO-2023-FL3</t>
        </is>
      </c>
      <c r="P115" s="4" t="inlineStr">
        <is>
          <t>2</t>
        </is>
      </c>
      <c r="Q115" s="4" t="inlineStr">
        <is>
          <t>• 17 August 2022: The AER approved $375.6 million in</t>
        </is>
      </c>
      <c r="R115" s="4" t="inlineStr"/>
      <c r="S115" s="4" t="inlineStr">
        <is>
          <t>Price basis not stated; recorded under PRICE_BASIS_UNKNOWN. Do not treat the difference from $321.9m as cost growth.</t>
        </is>
      </c>
    </row>
    <row r="116">
      <c r="A116" s="4" t="inlineStr">
        <is>
          <t>HumeLink</t>
        </is>
      </c>
      <c r="B116" s="4" t="inlineStr">
        <is>
          <t>HUM-PROJECT-HUMELINK</t>
        </is>
      </c>
      <c r="C116" s="4" t="inlineStr">
        <is>
          <t>HUM-AO-2023-FL3-EW-TOTAL-FL2</t>
        </is>
      </c>
      <c r="D116" s="4" t="inlineStr">
        <is>
          <t>cost</t>
        </is>
      </c>
      <c r="E116" s="4" t="inlineStr">
        <is>
          <t>2023-12</t>
        </is>
      </c>
      <c r="F116" s="4" t="inlineStr">
        <is>
          <t>Total early works assessed in feedback loop 2 as restated by AEMO</t>
        </is>
      </c>
      <c r="G116" s="4" t="n">
        <v>632.9</v>
      </c>
      <c r="H116" s="4" t="inlineStr">
        <is>
          <t>AUD million</t>
        </is>
      </c>
      <c r="I116" s="4" t="n"/>
      <c r="J116" s="4" t="n"/>
      <c r="K116" s="4" t="inlineStr">
        <is>
          <t>Not stated</t>
        </is>
      </c>
      <c r="L116" s="4" t="inlineStr">
        <is>
          <t>planner restatement of an earlier assessment</t>
        </is>
      </c>
      <c r="M116" s="4" t="inlineStr">
        <is>
          <t>Total cost of early works assessed by AEMO in feedback loop 2, including costs approved in August 2022</t>
        </is>
      </c>
      <c r="N116" s="4" t="inlineStr">
        <is>
          <t>Restates the same early-works boundary that the May 2023 notice records as $531.5 million in real 2017-18 dollars; a basis difference, not growth.</t>
        </is>
      </c>
      <c r="O116" s="4" t="inlineStr">
        <is>
          <t>HUM-AEMO-2023-FL3</t>
        </is>
      </c>
      <c r="P116" s="4" t="inlineStr">
        <is>
          <t>2</t>
        </is>
      </c>
      <c r="Q116" s="4" t="inlineStr">
        <is>
          <t>the total cost of early works ($632.9 million) did not</t>
        </is>
      </c>
      <c r="R116" s="4" t="inlineStr"/>
      <c r="S116" s="4" t="inlineStr">
        <is>
          <t>Price basis not stated; recorded under PRICE_BASIS_UNKNOWN.</t>
        </is>
      </c>
    </row>
    <row r="117">
      <c r="A117" s="4" t="inlineStr">
        <is>
          <t>HumeLink</t>
        </is>
      </c>
      <c r="B117" s="4" t="inlineStr">
        <is>
          <t>HUM-PROJECT-HUMELINK</t>
        </is>
      </c>
      <c r="C117" s="4" t="inlineStr">
        <is>
          <t>HUM-AO-2023-FL3-TIMING-NORTH</t>
        </is>
      </c>
      <c r="D117" s="4" t="inlineStr">
        <is>
          <t>completion</t>
        </is>
      </c>
      <c r="E117" s="4" t="inlineStr">
        <is>
          <t>2023-12</t>
        </is>
      </c>
      <c r="F117" s="4" t="inlineStr">
        <is>
          <t>Feedback loop 3 Northern Circuit timing</t>
        </is>
      </c>
      <c r="G117" s="4" t="inlineStr">
        <is>
          <t>2026-07</t>
        </is>
      </c>
      <c r="H117" s="4" t="inlineStr">
        <is>
          <t>date</t>
        </is>
      </c>
      <c r="I117" s="4" t="n"/>
      <c r="J117" s="4" t="n"/>
      <c r="K117" s="4" t="inlineStr">
        <is>
          <t>Proponent advice</t>
        </is>
      </c>
      <c r="L117" s="4" t="inlineStr">
        <is>
          <t>proponent delivery target reported by planner</t>
        </is>
      </c>
      <c r="M117" s="4" t="inlineStr">
        <is>
          <t>Northern Circuit (Gugaa to Bannaby) in service and at full network capacity</t>
        </is>
      </c>
      <c r="N117" s="4" t="inlineStr">
        <is>
          <t>Superseded by the 2026 ISP's expected completion of December 2027.</t>
        </is>
      </c>
      <c r="O117" s="4" t="inlineStr">
        <is>
          <t>HUM-AEMO-2023-FL3</t>
        </is>
      </c>
      <c r="P117" s="4" t="inlineStr">
        <is>
          <t>2</t>
        </is>
      </c>
      <c r="Q117" s="4" t="inlineStr">
        <is>
          <t>– Northern Circuit (Gugaa to Bannaby): July 2026</t>
        </is>
      </c>
      <c r="R117" s="4" t="inlineStr"/>
      <c r="S117" s="4" t="inlineStr"/>
    </row>
    <row r="118">
      <c r="A118" s="4" t="inlineStr">
        <is>
          <t>HumeLink</t>
        </is>
      </c>
      <c r="B118" s="4" t="inlineStr">
        <is>
          <t>HUM-PROJECT-HUMELINK</t>
        </is>
      </c>
      <c r="C118" s="4" t="inlineStr">
        <is>
          <t>HUM-AO-2023-FL3-TIMING-SOUTH</t>
        </is>
      </c>
      <c r="D118" s="4" t="inlineStr">
        <is>
          <t>completion</t>
        </is>
      </c>
      <c r="E118" s="4" t="inlineStr">
        <is>
          <t>2023-12</t>
        </is>
      </c>
      <c r="F118" s="4" t="inlineStr">
        <is>
          <t>Feedback loop 3 Southern Circuit timing</t>
        </is>
      </c>
      <c r="G118" s="4" t="inlineStr">
        <is>
          <t>2026-12</t>
        </is>
      </c>
      <c r="H118" s="4" t="inlineStr">
        <is>
          <t>date</t>
        </is>
      </c>
      <c r="I118" s="4" t="n"/>
      <c r="J118" s="4" t="n"/>
      <c r="K118" s="4" t="inlineStr">
        <is>
          <t>Proponent advice</t>
        </is>
      </c>
      <c r="L118" s="4" t="inlineStr">
        <is>
          <t>proponent delivery target reported by planner</t>
        </is>
      </c>
      <c r="M118" s="4" t="inlineStr">
        <is>
          <t>Southern Circuit (Gugaa to Maragle to Bannaby) in service and at full network capacity</t>
        </is>
      </c>
      <c r="N118" s="4" t="inlineStr">
        <is>
          <t>Superseded by the 2026 ISP's expected completion of December 2027.</t>
        </is>
      </c>
      <c r="O118" s="4" t="inlineStr">
        <is>
          <t>HUM-AEMO-2023-FL3</t>
        </is>
      </c>
      <c r="P118" s="4" t="inlineStr">
        <is>
          <t>2</t>
        </is>
      </c>
      <c r="Q118" s="4" t="inlineStr">
        <is>
          <t>– Southern Circuit (Gugaa to Maragle to Bannaby):</t>
        </is>
      </c>
      <c r="R118" s="4" t="inlineStr"/>
      <c r="S118" s="4" t="inlineStr"/>
    </row>
    <row r="119">
      <c r="A119" s="4" t="inlineStr">
        <is>
          <t>HumeLink</t>
        </is>
      </c>
      <c r="B119" s="4" t="inlineStr">
        <is>
          <t>HUM-PROJECT-HUMELINK</t>
        </is>
      </c>
      <c r="C119" s="4" t="inlineStr">
        <is>
          <t>HUM-AO-2023-CPA2-STAGE2</t>
        </is>
      </c>
      <c r="D119" s="4" t="inlineStr">
        <is>
          <t>cost</t>
        </is>
      </c>
      <c r="E119" s="4" t="inlineStr">
        <is>
          <t>2023-12</t>
        </is>
      </c>
      <c r="F119" s="4" t="inlineStr">
        <is>
          <t>Stage 2 CPA total forecast capex</t>
        </is>
      </c>
      <c r="G119" s="4" t="n">
        <v>4279.14</v>
      </c>
      <c r="H119" s="4" t="inlineStr">
        <is>
          <t>AUD million</t>
        </is>
      </c>
      <c r="I119" s="4" t="inlineStr">
        <is>
          <t>real 2022-23 dollars</t>
        </is>
      </c>
      <c r="J119" s="4" t="inlineStr">
        <is>
          <t>AACE Class 2 to 3</t>
        </is>
      </c>
      <c r="K119" s="4" t="inlineStr">
        <is>
          <t>Not stated in the summary value</t>
        </is>
      </c>
      <c r="L119" s="4" t="inlineStr">
        <is>
          <t>application / proponent proposal to the regulator</t>
        </is>
      </c>
      <c r="M119" s="4" t="inlineStr">
        <is>
          <t>HumeLink Stage 2 (delivery) only, incremental to Stage 1; excludes equity raising costs</t>
        </is>
      </c>
      <c r="N119" s="4" t="inlineStr">
        <is>
          <t>A stage-level application value. Not comparable with the $4.88bn whole-project total or with the AER's $3,964.8m substitute.</t>
        </is>
      </c>
      <c r="O119" s="4" t="inlineStr">
        <is>
          <t>HUM-TG-2024-CPA2</t>
        </is>
      </c>
      <c r="P119" s="4" t="inlineStr">
        <is>
          <t>15</t>
        </is>
      </c>
      <c r="Q119" s="4" t="inlineStr">
        <is>
          <t>Our total Humelink Stage 2 forecast capex is $4,279.14 million (Table 0.1), excluding equity raising costs.</t>
        </is>
      </c>
      <c r="R119" s="4" t="inlineStr"/>
      <c r="S119" s="4" t="inlineStr">
        <is>
          <t>Submitted 22 December 2023; the archived public file carries a 1 March 2024 publication date. Store submission and publication dates separately.</t>
        </is>
      </c>
    </row>
    <row r="120">
      <c r="A120" s="4" t="inlineStr">
        <is>
          <t>HumeLink</t>
        </is>
      </c>
      <c r="B120" s="4" t="inlineStr">
        <is>
          <t>HUM-PROJECT-HUMELINK</t>
        </is>
      </c>
      <c r="C120" s="4" t="inlineStr">
        <is>
          <t>HUM-AO-2023-CPA2-EQUITY</t>
        </is>
      </c>
      <c r="D120" s="4" t="inlineStr">
        <is>
          <t>cost</t>
        </is>
      </c>
      <c r="E120" s="4" t="inlineStr">
        <is>
          <t>2023-12</t>
        </is>
      </c>
      <c r="F120" s="4" t="inlineStr">
        <is>
          <t>Stage 2 CPA equity raising costs</t>
        </is>
      </c>
      <c r="G120" s="4" t="n">
        <v>33.14</v>
      </c>
      <c r="H120" s="4" t="inlineStr">
        <is>
          <t>AUD million</t>
        </is>
      </c>
      <c r="I120" s="4" t="inlineStr">
        <is>
          <t>real 2022-23 dollars</t>
        </is>
      </c>
      <c r="J120" s="4" t="n"/>
      <c r="K120" s="4" t="inlineStr">
        <is>
          <t>Not stated</t>
        </is>
      </c>
      <c r="L120" s="4" t="inlineStr">
        <is>
          <t>application / proponent proposal to the regulator</t>
        </is>
      </c>
      <c r="M120" s="4" t="inlineStr">
        <is>
          <t>Equity raising costs, excluded from the $4,279.14 million comparison figure</t>
        </is>
      </c>
      <c r="N120" s="4" t="inlineStr">
        <is>
          <t>Excluded from every 'excluding equity raising costs' amount in this pack; adding it changes the boundary.</t>
        </is>
      </c>
      <c r="O120" s="4" t="inlineStr">
        <is>
          <t>HUM-TG-2024-CPA2</t>
        </is>
      </c>
      <c r="P120" s="4" t="inlineStr">
        <is>
          <t>17</t>
        </is>
      </c>
      <c r="Q120" s="4" t="inlineStr">
        <is>
          <t>Equity raising costs  33.14</t>
        </is>
      </c>
      <c r="R120" s="4" t="inlineStr"/>
      <c r="S120" s="4" t="inlineStr"/>
    </row>
    <row r="121">
      <c r="A121" s="4" t="inlineStr">
        <is>
          <t>HumeLink</t>
        </is>
      </c>
      <c r="B121" s="4" t="inlineStr">
        <is>
          <t>HUM-PROJECT-HUMELINK</t>
        </is>
      </c>
      <c r="C121" s="4" t="inlineStr">
        <is>
          <t>HUM-AO-2023-CPA2-DIRECT</t>
        </is>
      </c>
      <c r="D121" s="4" t="inlineStr">
        <is>
          <t>cost</t>
        </is>
      </c>
      <c r="E121" s="4" t="inlineStr">
        <is>
          <t>2023-12</t>
        </is>
      </c>
      <c r="F121" s="4" t="inlineStr">
        <is>
          <t>Stage 2 CPA direct capex</t>
        </is>
      </c>
      <c r="G121" s="4" t="n">
        <v>3867.55</v>
      </c>
      <c r="H121" s="4" t="inlineStr">
        <is>
          <t>AUD million</t>
        </is>
      </c>
      <c r="I121" s="4" t="inlineStr">
        <is>
          <t>real 2022-23 dollars</t>
        </is>
      </c>
      <c r="J121" s="4" t="inlineStr">
        <is>
          <t>AACE Class 2 to 3</t>
        </is>
      </c>
      <c r="K121" s="4" t="inlineStr">
        <is>
          <t>Not stated</t>
        </is>
      </c>
      <c r="L121" s="4" t="inlineStr">
        <is>
          <t>application / proponent proposal to the regulator</t>
        </is>
      </c>
      <c r="M121" s="4" t="inlineStr">
        <is>
          <t>Direct capex within Stage 2 forecast capex</t>
        </is>
      </c>
      <c r="N121" s="4" t="inlineStr">
        <is>
          <t>A component of the $4,279.14m application value.</t>
        </is>
      </c>
      <c r="O121" s="4" t="inlineStr">
        <is>
          <t>HUM-TG-2024-CPA2</t>
        </is>
      </c>
      <c r="P121" s="4" t="inlineStr">
        <is>
          <t>15</t>
        </is>
      </c>
      <c r="Q121" s="4" t="inlineStr">
        <is>
          <t>• direct capex of $3,867.55 million (90.38 per cent of Stage 2 capex)</t>
        </is>
      </c>
      <c r="R121" s="4" t="inlineStr"/>
      <c r="S121" s="4" t="inlineStr"/>
    </row>
    <row r="122">
      <c r="A122" s="4" t="inlineStr">
        <is>
          <t>HumeLink</t>
        </is>
      </c>
      <c r="B122" s="4" t="inlineStr">
        <is>
          <t>HUM-PROJECT-HUMELINK</t>
        </is>
      </c>
      <c r="C122" s="4" t="inlineStr">
        <is>
          <t>HUM-AO-2023-CPA2-INDIRECT</t>
        </is>
      </c>
      <c r="D122" s="4" t="inlineStr">
        <is>
          <t>cost</t>
        </is>
      </c>
      <c r="E122" s="4" t="inlineStr">
        <is>
          <t>2023-12</t>
        </is>
      </c>
      <c r="F122" s="4" t="inlineStr">
        <is>
          <t>Stage 2 CPA labour and indirect capex</t>
        </is>
      </c>
      <c r="G122" s="4" t="n">
        <v>411.59</v>
      </c>
      <c r="H122" s="4" t="inlineStr">
        <is>
          <t>AUD million</t>
        </is>
      </c>
      <c r="I122" s="4" t="inlineStr">
        <is>
          <t>real 2022-23 dollars</t>
        </is>
      </c>
      <c r="J122" s="4" t="inlineStr">
        <is>
          <t>AACE Class 2 to 3</t>
        </is>
      </c>
      <c r="K122" s="4" t="inlineStr">
        <is>
          <t>Not stated</t>
        </is>
      </c>
      <c r="L122" s="4" t="inlineStr">
        <is>
          <t>application / proponent proposal to the regulator</t>
        </is>
      </c>
      <c r="M122" s="4" t="inlineStr">
        <is>
          <t>Labour and indirect capex within Stage 2 forecast capex</t>
        </is>
      </c>
      <c r="N122" s="4" t="inlineStr">
        <is>
          <t>A component of the $4,279.14m application value.</t>
        </is>
      </c>
      <c r="O122" s="4" t="inlineStr">
        <is>
          <t>HUM-TG-2024-CPA2</t>
        </is>
      </c>
      <c r="P122" s="4" t="inlineStr">
        <is>
          <t>15</t>
        </is>
      </c>
      <c r="Q122" s="4" t="inlineStr">
        <is>
          <t>• labour and indirect capex of $411.59 million (9.62 per cent of Stage 2 capex).</t>
        </is>
      </c>
      <c r="R122" s="4" t="inlineStr"/>
      <c r="S122" s="4" t="inlineStr"/>
    </row>
    <row r="123">
      <c r="A123" s="4" t="inlineStr">
        <is>
          <t>HumeLink</t>
        </is>
      </c>
      <c r="B123" s="4" t="inlineStr">
        <is>
          <t>HUM-PROJECT-HUMELINK</t>
        </is>
      </c>
      <c r="C123" s="4" t="inlineStr">
        <is>
          <t>HUM-AO-2024-MCC-PACR-2021</t>
        </is>
      </c>
      <c r="D123" s="4" t="inlineStr">
        <is>
          <t>cost</t>
        </is>
      </c>
      <c r="E123" s="4" t="inlineStr">
        <is>
          <t>2024-02</t>
        </is>
      </c>
      <c r="F123" s="4" t="inlineStr">
        <is>
          <t>MCC restatement of the PACR addendum estimate in 2021 dollars</t>
        </is>
      </c>
      <c r="G123" s="4" t="n">
        <v>3266</v>
      </c>
      <c r="H123" s="4" t="inlineStr">
        <is>
          <t>AUD million</t>
        </is>
      </c>
      <c r="I123" s="4" t="inlineStr">
        <is>
          <t>real June 2021 dollars</t>
        </is>
      </c>
      <c r="J123" s="4" t="inlineStr">
        <is>
          <t>AACE Class 4</t>
        </is>
      </c>
      <c r="K123" s="4" t="inlineStr">
        <is>
          <t>P50</t>
        </is>
      </c>
      <c r="L123" s="4" t="inlineStr">
        <is>
          <t>proponent same-basis comparison input</t>
        </is>
      </c>
      <c r="M123" s="4" t="inlineStr">
        <is>
          <t>Option 3C total capital cost as assessed at the PACR addendum, lines/substations plus biodiversity</t>
        </is>
      </c>
      <c r="N123" s="4" t="inlineStr">
        <is>
          <t>The MCC narrative rounds this to $3.27 billion (June 2021 dollars). It differs from the PACR's $3,317m in real 2020/21 dollars; the archive does not reconcile the two.</t>
        </is>
      </c>
      <c r="O123" s="4" t="inlineStr">
        <is>
          <t>HUM-TG-2024-MCCA</t>
        </is>
      </c>
      <c r="P123" s="4" t="inlineStr">
        <is>
          <t>35</t>
        </is>
      </c>
      <c r="Q123" s="4" t="inlineStr">
        <is>
          <t>PACR addendum Real 2021 dollars $1,809 million $845 million $3,266 million</t>
        </is>
      </c>
      <c r="R123" s="4" t="inlineStr"/>
      <c r="S123" s="4" t="inlineStr"/>
    </row>
    <row r="124">
      <c r="A124" s="4" t="inlineStr">
        <is>
          <t>HumeLink</t>
        </is>
      </c>
      <c r="B124" s="4" t="inlineStr">
        <is>
          <t>HUM-PROJECT-HUMELINK</t>
        </is>
      </c>
      <c r="C124" s="4" t="inlineStr">
        <is>
          <t>HUM-AO-2024-MCC-PACR-2023</t>
        </is>
      </c>
      <c r="D124" s="4" t="inlineStr">
        <is>
          <t>cost</t>
        </is>
      </c>
      <c r="E124" s="4" t="inlineStr">
        <is>
          <t>2024-02</t>
        </is>
      </c>
      <c r="F124" s="4" t="inlineStr">
        <is>
          <t>PACR-equivalent estimate converted to June 2023 dollars</t>
        </is>
      </c>
      <c r="G124" s="4" t="n">
        <v>3820</v>
      </c>
      <c r="H124" s="4" t="inlineStr">
        <is>
          <t>AUD million</t>
        </is>
      </c>
      <c r="I124" s="4" t="inlineStr">
        <is>
          <t>real June 2023 dollars</t>
        </is>
      </c>
      <c r="J124" s="4" t="inlineStr">
        <is>
          <t>AACE Class 4</t>
        </is>
      </c>
      <c r="K124" s="4" t="inlineStr">
        <is>
          <t>P50</t>
        </is>
      </c>
      <c r="L124" s="4" t="inlineStr">
        <is>
          <t>proponent price-basis conversion of an earlier estimate</t>
        </is>
      </c>
      <c r="M124" s="4" t="inlineStr">
        <is>
          <t>Option 3C total capital cost from the PACR addendum, escalated to June 2023 dollars using a factor of 1.170</t>
        </is>
      </c>
      <c r="N124" s="4" t="inlineStr">
        <is>
          <t>This is the converted baseline of the only same-price-basis comparison published in the archive.</t>
        </is>
      </c>
      <c r="O124" s="4" t="inlineStr">
        <is>
          <t>HUM-TG-2024-MCCA</t>
        </is>
      </c>
      <c r="P124" s="4" t="inlineStr">
        <is>
          <t>16</t>
        </is>
      </c>
      <c r="Q124" s="4" t="inlineStr">
        <is>
          <t>Transgrid’s capital cost estimate for Option 3C has increased by 28 per cent from $3,820 million to $4,881</t>
        </is>
      </c>
      <c r="R124" s="4" t="inlineStr"/>
      <c r="S124" s="4" t="inlineStr">
        <is>
          <t>Conversion factor and derivation stated at PDF p. 11, footnote 18.</t>
        </is>
      </c>
    </row>
    <row r="125">
      <c r="A125" s="4" t="inlineStr">
        <is>
          <t>HumeLink</t>
        </is>
      </c>
      <c r="B125" s="4" t="inlineStr">
        <is>
          <t>HUM-PROJECT-HUMELINK</t>
        </is>
      </c>
      <c r="C125" s="4" t="inlineStr">
        <is>
          <t>HUM-AO-2024-MCC-CURRENT</t>
        </is>
      </c>
      <c r="D125" s="4" t="inlineStr">
        <is>
          <t>cost</t>
        </is>
      </c>
      <c r="E125" s="4" t="inlineStr">
        <is>
          <t>2024-02</t>
        </is>
      </c>
      <c r="F125" s="4" t="inlineStr">
        <is>
          <t>MCC current estimate for Option 3C</t>
        </is>
      </c>
      <c r="G125" s="4" t="n">
        <v>4881</v>
      </c>
      <c r="H125" s="4" t="inlineStr">
        <is>
          <t>AUD million</t>
        </is>
      </c>
      <c r="I125" s="4" t="inlineStr">
        <is>
          <t>real June 2023 dollars</t>
        </is>
      </c>
      <c r="J125" s="4" t="inlineStr">
        <is>
          <t>AACE Class 2 to 3</t>
        </is>
      </c>
      <c r="K125" s="4" t="inlineStr">
        <is>
          <t>Not stated as a range</t>
        </is>
      </c>
      <c r="L125" s="4" t="inlineStr">
        <is>
          <t>proponent current estimate</t>
        </is>
      </c>
      <c r="M125" s="4" t="inlineStr">
        <is>
          <t>The HumeLink project (Stage 1 Parts 1 and 2 plus Stage 2), excluding escalators of $4 million and equity raising costs of $33 million</t>
        </is>
      </c>
      <c r="N125" s="4" t="inlineStr">
        <is>
          <t>Comparable with $3,820m only because Transgrid converted both to June 2023 dollars; maturity still moved from Class 4 to Class 2-3.</t>
        </is>
      </c>
      <c r="O125" s="4" t="inlineStr">
        <is>
          <t>HUM-TG-2024-MCCA</t>
        </is>
      </c>
      <c r="P125" s="4" t="inlineStr">
        <is>
          <t>16</t>
        </is>
      </c>
      <c r="Q125" s="4" t="inlineStr">
        <is>
          <t>Transgrid’s capital cost estimate for Option 3C has increased by 28 per cent from $3,820 million to $4,881</t>
        </is>
      </c>
      <c r="R125" s="4" t="inlineStr"/>
      <c r="S125" s="4" t="inlineStr">
        <is>
          <t>Also stated at PDF p. 13 with the escalator and equity-raising deductions.</t>
        </is>
      </c>
    </row>
    <row r="126">
      <c r="A126" s="4" t="inlineStr">
        <is>
          <t>HumeLink</t>
        </is>
      </c>
      <c r="B126" s="4" t="inlineStr">
        <is>
          <t>HUM-PROJECT-HUMELINK</t>
        </is>
      </c>
      <c r="C126" s="4" t="inlineStr">
        <is>
          <t>HUM-AO-2024-MCC-INCREASE-PCT</t>
        </is>
      </c>
      <c r="D126" s="4" t="inlineStr">
        <is>
          <t>other</t>
        </is>
      </c>
      <c r="E126" s="4" t="inlineStr">
        <is>
          <t>2024-02</t>
        </is>
      </c>
      <c r="F126" s="4" t="inlineStr">
        <is>
          <t>Transgrid same-basis increase in the Option 3C estimate</t>
        </is>
      </c>
      <c r="G126" s="4" t="n">
        <v>28</v>
      </c>
      <c r="H126" s="4" t="inlineStr">
        <is>
          <t>per cent</t>
        </is>
      </c>
      <c r="I126" s="4" t="inlineStr">
        <is>
          <t>real June 2023 dollars</t>
        </is>
      </c>
      <c r="J126" s="4" t="n"/>
      <c r="K126" s="4" t="inlineStr">
        <is>
          <t>Not stated</t>
        </is>
      </c>
      <c r="L126" s="4" t="inlineStr">
        <is>
          <t>proponent same-basis comparison</t>
        </is>
      </c>
      <c r="M126" s="4" t="inlineStr">
        <is>
          <t>Movement from the PACR-equivalent $3,820m to the current $4,881m, both in June 2023 dollars</t>
        </is>
      </c>
      <c r="N126" s="4" t="inlineStr">
        <is>
          <t>A published proponent comparison between two proponent estimates. It is not an overrun against an approved amount, and it is a distinct observation from the AER's later allowance.</t>
        </is>
      </c>
      <c r="O126" s="4" t="inlineStr">
        <is>
          <t>HUM-TG-2024-MCCA</t>
        </is>
      </c>
      <c r="P126" s="4" t="inlineStr">
        <is>
          <t>16</t>
        </is>
      </c>
      <c r="Q126" s="4" t="inlineStr">
        <is>
          <t>Transgrid’s capital cost estimate for Option 3C has increased by 28 per cent from $3,820 million to $4,881</t>
        </is>
      </c>
      <c r="R126" s="4" t="inlineStr"/>
      <c r="S126" s="4" t="inlineStr">
        <is>
          <t>Transgrid attributes the movement to early-works refinement, global construction activity, supply-chain disruption, fuel costs and commodity prices (PDF p. 11); this is attribution, not an audited decomposition.</t>
        </is>
      </c>
    </row>
    <row r="127">
      <c r="A127" s="4" t="inlineStr">
        <is>
          <t>HumeLink</t>
        </is>
      </c>
      <c r="B127" s="4" t="inlineStr">
        <is>
          <t>HUM-PROJECT-HUMELINK</t>
        </is>
      </c>
      <c r="C127" s="4" t="inlineStr">
        <is>
          <t>HUM-AO-2024-MCC-INCREASE-ABS</t>
        </is>
      </c>
      <c r="D127" s="4" t="inlineStr">
        <is>
          <t>cost</t>
        </is>
      </c>
      <c r="E127" s="4" t="inlineStr">
        <is>
          <t>2024-02</t>
        </is>
      </c>
      <c r="F127" s="4" t="inlineStr">
        <is>
          <t>Transgrid same-basis increase in the Option 3C estimate</t>
        </is>
      </c>
      <c r="G127" s="4" t="n">
        <v>1060</v>
      </c>
      <c r="H127" s="4" t="inlineStr">
        <is>
          <t>AUD million</t>
        </is>
      </c>
      <c r="I127" s="4" t="inlineStr">
        <is>
          <t>real June 2023 dollars</t>
        </is>
      </c>
      <c r="J127" s="4" t="n"/>
      <c r="K127" s="4" t="inlineStr">
        <is>
          <t>Not stated</t>
        </is>
      </c>
      <c r="L127" s="4" t="inlineStr">
        <is>
          <t>proponent same-basis comparison</t>
        </is>
      </c>
      <c r="M127" s="4" t="inlineStr">
        <is>
          <t>Absolute movement between the PACR-equivalent and current estimates in June 2023 dollar terms</t>
        </is>
      </c>
      <c r="N127" s="4" t="inlineStr">
        <is>
          <t>The difference between two proponent estimates, not a variance against an approved amount.</t>
        </is>
      </c>
      <c r="O127" s="4" t="inlineStr">
        <is>
          <t>HUM-TG-2024-MCCA</t>
        </is>
      </c>
      <c r="P127" s="4" t="inlineStr">
        <is>
          <t>11</t>
        </is>
      </c>
      <c r="Q127" s="4" t="inlineStr">
        <is>
          <t>a cost increase of $1.06 billion in June 2023 dollar terms</t>
        </is>
      </c>
      <c r="R127" s="4" t="inlineStr"/>
      <c r="S127" s="4" t="inlineStr">
        <is>
          <t>Published as $1.06 billion; the p. 16 table implies $1,061 million.</t>
        </is>
      </c>
    </row>
    <row r="128">
      <c r="A128" s="4" t="inlineStr">
        <is>
          <t>HumeLink</t>
        </is>
      </c>
      <c r="B128" s="4" t="inlineStr">
        <is>
          <t>HUM-PROJECT-HUMELINK</t>
        </is>
      </c>
      <c r="C128" s="4" t="inlineStr">
        <is>
          <t>HUM-AO-2024-MCC-NETBENEFIT</t>
        </is>
      </c>
      <c r="D128" s="4" t="inlineStr">
        <is>
          <t>other</t>
        </is>
      </c>
      <c r="E128" s="4" t="inlineStr">
        <is>
          <t>2024-02</t>
        </is>
      </c>
      <c r="F128" s="4" t="inlineStr">
        <is>
          <t>Transgrid MCC reported net market benefit for Option 3C</t>
        </is>
      </c>
      <c r="G128" s="4" t="n">
        <v>4186</v>
      </c>
      <c r="H128" s="4" t="inlineStr">
        <is>
          <t>AUD million</t>
        </is>
      </c>
      <c r="I128" s="4" t="inlineStr">
        <is>
          <t>real 2022-23 dollars</t>
        </is>
      </c>
      <c r="J128" s="4" t="n"/>
      <c r="K128" s="4" t="inlineStr">
        <is>
          <t>Weighted</t>
        </is>
      </c>
      <c r="L128" s="4" t="inlineStr">
        <is>
          <t>proponent modelling reported by the regulator</t>
        </is>
      </c>
      <c r="M128" s="4" t="inlineStr">
        <is>
          <t>Weighted net market benefit of Option 3C in Transgrid's MCC assessment; the option cost used includes $609m of early works</t>
        </is>
      </c>
      <c r="N128" s="4" t="inlineStr">
        <is>
          <t>The AER did not adopt this figure; it is not a revision of the PACR's $491m.</t>
        </is>
      </c>
      <c r="O128" s="4" t="inlineStr">
        <is>
          <t>HUM-AER-2024-CPA2</t>
        </is>
      </c>
      <c r="P128" s="4" t="inlineStr">
        <is>
          <t>28</t>
        </is>
      </c>
      <c r="Q128" s="4" t="inlineStr">
        <is>
          <t>benefit of $4.186 billion.</t>
        </is>
      </c>
      <c r="R128" s="4" t="inlineStr"/>
      <c r="S128" s="4" t="inlineStr">
        <is>
          <t>Published as $4.186 billion.</t>
        </is>
      </c>
    </row>
    <row r="129">
      <c r="A129" s="4" t="inlineStr">
        <is>
          <t>HumeLink</t>
        </is>
      </c>
      <c r="B129" s="4" t="inlineStr">
        <is>
          <t>HUM-PROJECT-HUMELINK</t>
        </is>
      </c>
      <c r="C129" s="4" t="inlineStr">
        <is>
          <t>HUM-AO-2024-ISP-COST</t>
        </is>
      </c>
      <c r="D129" s="4" t="inlineStr">
        <is>
          <t>cost</t>
        </is>
      </c>
      <c r="E129" s="4" t="inlineStr">
        <is>
          <t>2024-06</t>
        </is>
      </c>
      <c r="F129" s="4" t="inlineStr">
        <is>
          <t>2024 ISP HumeLink expected cost</t>
        </is>
      </c>
      <c r="G129" s="4" t="n">
        <v>4892</v>
      </c>
      <c r="H129" s="4" t="inlineStr">
        <is>
          <t>AUD million</t>
        </is>
      </c>
      <c r="I129" s="4" t="inlineStr">
        <is>
          <t>June 2023 dollars</t>
        </is>
      </c>
      <c r="J129" s="4" t="inlineStr">
        <is>
          <t>Class 3</t>
        </is>
      </c>
      <c r="K129" s="4" t="inlineStr">
        <is>
          <t>-5% to +12%</t>
        </is>
      </c>
      <c r="L129" s="4" t="inlineStr">
        <is>
          <t>expected cost / actionable ISP project as represented by AEMO</t>
        </is>
      </c>
      <c r="M129" s="4" t="inlineStr">
        <is>
          <t>The whole HumeLink ISP candidate option: three 500 kV circuits, Gugaa substation and 330 kV connection, transformers, reactors and substation augmentations</t>
        </is>
      </c>
      <c r="N129" s="4" t="inlineStr">
        <is>
          <t>Not like-for-like with Transgrid's $4,881m (which deducts escalators and equity raising) or with the AER's $4,573.5m allowance.</t>
        </is>
      </c>
      <c r="O129" s="4" t="inlineStr">
        <is>
          <t>HUM-AEMO-2024-ISP-A5</t>
        </is>
      </c>
      <c r="P129" s="4" t="inlineStr">
        <is>
          <t>22</t>
        </is>
      </c>
      <c r="Q129" s="4" t="inlineStr">
        <is>
          <t>4,892  
(June 2023 dollars) 
Class 3 
(-5% to +12%)</t>
        </is>
      </c>
      <c r="R129" s="4" t="inlineStr">
        <is>
          <t>selected</t>
        </is>
      </c>
      <c r="S129" s="4" t="inlineStr">
        <is>
          <t>This is the only archived amount that rounds to the chart's $4.9 billion.</t>
        </is>
      </c>
    </row>
    <row r="130">
      <c r="A130" s="4" t="inlineStr">
        <is>
          <t>HumeLink</t>
        </is>
      </c>
      <c r="B130" s="4" t="inlineStr">
        <is>
          <t>HUM-PROJECT-HUMELINK</t>
        </is>
      </c>
      <c r="C130" s="4" t="inlineStr">
        <is>
          <t>HUM-AO-2024-ISP-CAPACITY</t>
        </is>
      </c>
      <c r="D130" s="4" t="inlineStr">
        <is>
          <t>capacity</t>
        </is>
      </c>
      <c r="E130" s="4" t="inlineStr">
        <is>
          <t>2024-06</t>
        </is>
      </c>
      <c r="F130" s="4" t="inlineStr">
        <is>
          <t>2024 ISP additional network capacity</t>
        </is>
      </c>
      <c r="G130" s="4" t="n">
        <v>2200</v>
      </c>
      <c r="H130" s="4" t="inlineStr">
        <is>
          <t>MW</t>
        </is>
      </c>
      <c r="I130" s="4" t="n"/>
      <c r="J130" s="4" t="n"/>
      <c r="K130" s="4" t="inlineStr">
        <is>
          <t>Not stated</t>
        </is>
      </c>
      <c r="L130" s="4" t="inlineStr">
        <is>
          <t>additional network capacity / planner</t>
        </is>
      </c>
      <c r="M130" s="4" t="inlineStr">
        <is>
          <t>Additional network capacity in both directions for the HumeLink candidate option</t>
        </is>
      </c>
      <c r="N130" s="4" t="inlineStr">
        <is>
          <t>A directional transfer measure; the same table separately reports REZ network limit increases of 1,500 MW in N6, 2,200 MW in N6+N7 and 800 MW in N5.</t>
        </is>
      </c>
      <c r="O130" s="4" t="inlineStr">
        <is>
          <t>HUM-AEMO-2024-ISP-A5</t>
        </is>
      </c>
      <c r="P130" s="4" t="inlineStr">
        <is>
          <t>22</t>
        </is>
      </c>
      <c r="Q130" s="4" t="inlineStr">
        <is>
          <t>2,200 MW in both 
directions.</t>
        </is>
      </c>
      <c r="R130" s="4" t="inlineStr"/>
      <c r="S130" s="4" t="inlineStr"/>
    </row>
    <row r="131">
      <c r="A131" s="4" t="inlineStr">
        <is>
          <t>HumeLink</t>
        </is>
      </c>
      <c r="B131" s="4" t="inlineStr">
        <is>
          <t>HUM-PROJECT-HUMELINK</t>
        </is>
      </c>
      <c r="C131" s="4" t="inlineStr">
        <is>
          <t>HUM-AO-2024-AER-STAGE2-PROPOSED</t>
        </is>
      </c>
      <c r="D131" s="4" t="inlineStr">
        <is>
          <t>cost</t>
        </is>
      </c>
      <c r="E131" s="4" t="inlineStr">
        <is>
          <t>2024-08</t>
        </is>
      </c>
      <c r="F131" s="4" t="inlineStr">
        <is>
          <t>Stage 2 proposed forecast capex as recorded by the AER</t>
        </is>
      </c>
      <c r="G131" s="4" t="n">
        <v>4279.1</v>
      </c>
      <c r="H131" s="4" t="inlineStr">
        <is>
          <t>AUD million</t>
        </is>
      </c>
      <c r="I131" s="4" t="inlineStr">
        <is>
          <t>real 2022-23 dollars</t>
        </is>
      </c>
      <c r="J131" s="4" t="n"/>
      <c r="K131" s="4" t="inlineStr">
        <is>
          <t>Not stated</t>
        </is>
      </c>
      <c r="L131" s="4" t="inlineStr">
        <is>
          <t>application value recorded by the regulator</t>
        </is>
      </c>
      <c r="M131" s="4" t="inlineStr">
        <is>
          <t>Transgrid's proposed Stage 2 forecast capex; excludes equity raising costs</t>
        </is>
      </c>
      <c r="N131" s="4" t="inlineStr">
        <is>
          <t>The regulator's rounding of the CPA's $4,279.14m. An application value, not an allowance.</t>
        </is>
      </c>
      <c r="O131" s="4" t="inlineStr">
        <is>
          <t>HUM-AER-2024-CPA2</t>
        </is>
      </c>
      <c r="P131" s="4" t="inlineStr">
        <is>
          <t>33</t>
        </is>
      </c>
      <c r="Q131" s="4" t="inlineStr">
        <is>
          <t>Transgrid’s proposed forecast capex of $4,279.1 million for its stage 2</t>
        </is>
      </c>
      <c r="R131" s="4" t="inlineStr"/>
      <c r="S131" s="4" t="inlineStr"/>
    </row>
    <row r="132">
      <c r="A132" s="4" t="inlineStr">
        <is>
          <t>HumeLink</t>
        </is>
      </c>
      <c r="B132" s="4" t="inlineStr">
        <is>
          <t>HUM-PROJECT-HUMELINK</t>
        </is>
      </c>
      <c r="C132" s="4" t="inlineStr">
        <is>
          <t>HUM-AO-2024-AER-STAGE2-REVISED</t>
        </is>
      </c>
      <c r="D132" s="4" t="inlineStr">
        <is>
          <t>cost</t>
        </is>
      </c>
      <c r="E132" s="4" t="inlineStr">
        <is>
          <t>2024-08</t>
        </is>
      </c>
      <c r="F132" s="4" t="inlineStr">
        <is>
          <t>Transgrid revised Stage 2 forecast during the assessment</t>
        </is>
      </c>
      <c r="G132" s="4" t="n">
        <v>4173.4</v>
      </c>
      <c r="H132" s="4" t="inlineStr">
        <is>
          <t>AUD million</t>
        </is>
      </c>
      <c r="I132" s="4" t="inlineStr">
        <is>
          <t>real 2022-23 dollars</t>
        </is>
      </c>
      <c r="J132" s="4" t="n"/>
      <c r="K132" s="4" t="inlineStr">
        <is>
          <t>Not stated</t>
        </is>
      </c>
      <c r="L132" s="4" t="inlineStr">
        <is>
          <t>revised application value recorded by the regulator</t>
        </is>
      </c>
      <c r="M132" s="4" t="inlineStr">
        <is>
          <t>Transgrid's initial capex forecast lowered after it acknowledged costs included in error</t>
        </is>
      </c>
      <c r="N132" s="4" t="inlineStr">
        <is>
          <t>An intermediate application value; keep distinct from both the original proposal and the AER's substitute.</t>
        </is>
      </c>
      <c r="O132" s="4" t="inlineStr">
        <is>
          <t>HUM-AER-2024-CPA2</t>
        </is>
      </c>
      <c r="P132" s="4" t="inlineStr">
        <is>
          <t>33</t>
        </is>
      </c>
      <c r="Q132" s="4" t="inlineStr">
        <is>
          <t>some costs were included in error, which lowered its initial capex forecast to $4,173.4 million.</t>
        </is>
      </c>
      <c r="R132" s="4" t="inlineStr"/>
      <c r="S132" s="4" t="inlineStr"/>
    </row>
    <row r="133">
      <c r="A133" s="4" t="inlineStr">
        <is>
          <t>HumeLink</t>
        </is>
      </c>
      <c r="B133" s="4" t="inlineStr">
        <is>
          <t>HUM-PROJECT-HUMELINK</t>
        </is>
      </c>
      <c r="C133" s="4" t="inlineStr">
        <is>
          <t>HUM-AO-2024-AER-STAGE2-ALLOWED</t>
        </is>
      </c>
      <c r="D133" s="4" t="inlineStr">
        <is>
          <t>cost</t>
        </is>
      </c>
      <c r="E133" s="4" t="inlineStr">
        <is>
          <t>2024-08</t>
        </is>
      </c>
      <c r="F133" s="4" t="inlineStr">
        <is>
          <t>AER Stage 2 determined forecast capex</t>
        </is>
      </c>
      <c r="G133" s="4" t="n">
        <v>3964.8</v>
      </c>
      <c r="H133" s="4" t="inlineStr">
        <is>
          <t>AUD million</t>
        </is>
      </c>
      <c r="I133" s="4" t="inlineStr">
        <is>
          <t>real 2022-23 dollars</t>
        </is>
      </c>
      <c r="J133" s="4" t="n"/>
      <c r="K133" s="4" t="inlineStr">
        <is>
          <t>Not stated</t>
        </is>
      </c>
      <c r="L133" s="4" t="inlineStr">
        <is>
          <t>approved / regulator substitute estimate</t>
        </is>
      </c>
      <c r="M133" s="4" t="inlineStr">
        <is>
          <t>Stage 2 delivery only; excludes equity raising costs</t>
        </is>
      </c>
      <c r="N133" s="4" t="inlineStr">
        <is>
          <t>A regulatory substitution, not a proponent forecast and not an outturn.</t>
        </is>
      </c>
      <c r="O133" s="4" t="inlineStr">
        <is>
          <t>HUM-AER-2024-CPA2</t>
        </is>
      </c>
      <c r="P133" s="4" t="inlineStr">
        <is>
          <t>33</t>
        </is>
      </c>
      <c r="Q133" s="4" t="inlineStr">
        <is>
          <t>Our determination substitutes forecast capex of $3,964.8 million, which is $314.4 million (or</t>
        </is>
      </c>
      <c r="R133" s="4" t="inlineStr"/>
      <c r="S133" s="4" t="inlineStr"/>
    </row>
    <row r="134">
      <c r="A134" s="4" t="inlineStr">
        <is>
          <t>HumeLink</t>
        </is>
      </c>
      <c r="B134" s="4" t="inlineStr">
        <is>
          <t>HUM-PROJECT-HUMELINK</t>
        </is>
      </c>
      <c r="C134" s="4" t="inlineStr">
        <is>
          <t>HUM-AO-2024-AER-STAGE2-REDUCTION</t>
        </is>
      </c>
      <c r="D134" s="4" t="inlineStr">
        <is>
          <t>cost</t>
        </is>
      </c>
      <c r="E134" s="4" t="inlineStr">
        <is>
          <t>2024-08</t>
        </is>
      </c>
      <c r="F134" s="4" t="inlineStr">
        <is>
          <t>AER reduction against the Stage 2 proposal</t>
        </is>
      </c>
      <c r="G134" s="4" t="n">
        <v>314.4</v>
      </c>
      <c r="H134" s="4" t="inlineStr">
        <is>
          <t>AUD million</t>
        </is>
      </c>
      <c r="I134" s="4" t="inlineStr">
        <is>
          <t>real 2022-23 dollars</t>
        </is>
      </c>
      <c r="J134" s="4" t="n"/>
      <c r="K134" s="4" t="inlineStr">
        <is>
          <t>7.3 per cent of the proposal</t>
        </is>
      </c>
      <c r="L134" s="4" t="inlineStr">
        <is>
          <t>regulator determination difference</t>
        </is>
      </c>
      <c r="M134" s="4" t="inlineStr">
        <is>
          <t>Difference between Transgrid's $4,279.1m proposal and the AER's $3,964.8m determination</t>
        </is>
      </c>
      <c r="N134" s="4" t="inlineStr">
        <is>
          <t>A proposal-to-decision difference, not forecast error and not an overrun.</t>
        </is>
      </c>
      <c r="O134" s="4" t="inlineStr">
        <is>
          <t>HUM-AER-2024-CPA2</t>
        </is>
      </c>
      <c r="P134" s="4" t="inlineStr">
        <is>
          <t>33</t>
        </is>
      </c>
      <c r="Q134" s="4" t="inlineStr">
        <is>
          <t>Our determination substitutes forecast capex of $3,964.8 million, which is $314.4 million (or</t>
        </is>
      </c>
      <c r="R134" s="4" t="inlineStr"/>
      <c r="S134" s="4" t="inlineStr">
        <is>
          <t>The AER separately records that $208.6 million of the reduction is against Transgrid's revised $4,173.4m forecast.</t>
        </is>
      </c>
    </row>
    <row r="135">
      <c r="A135" s="4" t="inlineStr">
        <is>
          <t>HumeLink</t>
        </is>
      </c>
      <c r="B135" s="4" t="inlineStr">
        <is>
          <t>HUM-PROJECT-HUMELINK</t>
        </is>
      </c>
      <c r="C135" s="4" t="inlineStr">
        <is>
          <t>HUM-AO-2024-AER-ALLSTAGE</t>
        </is>
      </c>
      <c r="D135" s="4" t="inlineStr">
        <is>
          <t>cost</t>
        </is>
      </c>
      <c r="E135" s="4" t="inlineStr">
        <is>
          <t>2024-08</t>
        </is>
      </c>
      <c r="F135" s="4" t="inlineStr">
        <is>
          <t>AER determination on HumeLink capex, all stages</t>
        </is>
      </c>
      <c r="G135" s="4" t="n">
        <v>4573.5</v>
      </c>
      <c r="H135" s="4" t="inlineStr">
        <is>
          <t>AUD million</t>
        </is>
      </c>
      <c r="I135" s="4" t="inlineStr">
        <is>
          <t>real 2022-23 dollars</t>
        </is>
      </c>
      <c r="J135" s="4" t="n"/>
      <c r="K135" s="4" t="inlineStr">
        <is>
          <t>Not stated</t>
        </is>
      </c>
      <c r="L135" s="4" t="inlineStr">
        <is>
          <t>approved / regulator determination</t>
        </is>
      </c>
      <c r="M135" s="4" t="inlineStr">
        <is>
          <t>All stages: Stage 1 Part 1 (CPI-escalated from $2017-18), Stage 1 Part 2 and Stage 2 delivery; excludes equity raising costs</t>
        </is>
      </c>
      <c r="N135" s="4" t="inlineStr">
        <is>
          <t>The controlling approved regulatory amount. It is not comparable with the $4.88bn feedback-loop total, the $4,892m ISP estimate or the $4.8bn planning capital-investment value.</t>
        </is>
      </c>
      <c r="O135" s="4" t="inlineStr">
        <is>
          <t>HUM-AER-2024-CPA2</t>
        </is>
      </c>
      <c r="P135" s="4" t="inlineStr">
        <is>
          <t>34</t>
        </is>
      </c>
      <c r="Q135" s="4" t="inlineStr">
        <is>
          <t>Total 306.0 4,267.4 4,573.5</t>
        </is>
      </c>
      <c r="R135" s="4" t="inlineStr"/>
      <c r="S135" s="4" t="inlineStr">
        <is>
          <t>Published as $4,573.5 million, i.e. $4.5735 billion.</t>
        </is>
      </c>
    </row>
    <row r="136">
      <c r="A136" s="4" t="inlineStr">
        <is>
          <t>HumeLink</t>
        </is>
      </c>
      <c r="B136" s="4" t="inlineStr">
        <is>
          <t>HUM-PROJECT-HUMELINK</t>
        </is>
      </c>
      <c r="C136" s="4" t="inlineStr">
        <is>
          <t>HUM-AO-2024-AER-STAGE1P1-ESCALATED</t>
        </is>
      </c>
      <c r="D136" s="4" t="inlineStr">
        <is>
          <t>cost</t>
        </is>
      </c>
      <c r="E136" s="4" t="inlineStr">
        <is>
          <t>2024-08</t>
        </is>
      </c>
      <c r="F136" s="4" t="inlineStr">
        <is>
          <t>AER all-stage table, Stage 1 Part 1 early works</t>
        </is>
      </c>
      <c r="G136" s="4" t="n">
        <v>380.8</v>
      </c>
      <c r="H136" s="4" t="inlineStr">
        <is>
          <t>AUD million</t>
        </is>
      </c>
      <c r="I136" s="4" t="inlineStr">
        <is>
          <t>real 2022-23 dollars</t>
        </is>
      </c>
      <c r="J136" s="4" t="n"/>
      <c r="K136" s="4" t="inlineStr">
        <is>
          <t>Not stated</t>
        </is>
      </c>
      <c r="L136" s="4" t="inlineStr">
        <is>
          <t>approved / regulator determination restated</t>
        </is>
      </c>
      <c r="M136" s="4" t="inlineStr">
        <is>
          <t>Stage 1 (Part 1) early works, escalated from $2017-18 using unlagged June quarter CPI</t>
        </is>
      </c>
      <c r="N136" s="4" t="inlineStr">
        <is>
          <t>A price-basis restatement of the $321.9m ($2017-18) allowance, not a new approval.</t>
        </is>
      </c>
      <c r="O136" s="4" t="inlineStr">
        <is>
          <t>HUM-AER-2024-CPA2</t>
        </is>
      </c>
      <c r="P136" s="4" t="inlineStr">
        <is>
          <t>34</t>
        </is>
      </c>
      <c r="Q136" s="4" t="inlineStr">
        <is>
          <t>Stage 1 (Part 1) early works 306.0 74.8 380.8</t>
        </is>
      </c>
      <c r="R136" s="4" t="inlineStr"/>
      <c r="S136" s="4" t="inlineStr"/>
    </row>
    <row r="137">
      <c r="A137" s="4" t="inlineStr">
        <is>
          <t>HumeLink</t>
        </is>
      </c>
      <c r="B137" s="4" t="inlineStr">
        <is>
          <t>HUM-PROJECT-HUMELINK</t>
        </is>
      </c>
      <c r="C137" s="4" t="inlineStr">
        <is>
          <t>HUM-AO-2024-AER-STAGE1P2-RESTATED</t>
        </is>
      </c>
      <c r="D137" s="4" t="inlineStr">
        <is>
          <t>cost</t>
        </is>
      </c>
      <c r="E137" s="4" t="inlineStr">
        <is>
          <t>2024-08</t>
        </is>
      </c>
      <c r="F137" s="4" t="inlineStr">
        <is>
          <t>AER all-stage table, Stage 1 Part 2 early works</t>
        </is>
      </c>
      <c r="G137" s="4" t="n">
        <v>227.8</v>
      </c>
      <c r="H137" s="4" t="inlineStr">
        <is>
          <t>AUD million</t>
        </is>
      </c>
      <c r="I137" s="4" t="inlineStr">
        <is>
          <t>real 2022-23 dollars</t>
        </is>
      </c>
      <c r="J137" s="4" t="n"/>
      <c r="K137" s="4" t="inlineStr">
        <is>
          <t>Not stated</t>
        </is>
      </c>
      <c r="L137" s="4" t="inlineStr">
        <is>
          <t>approved / regulator determination restated</t>
        </is>
      </c>
      <c r="M137" s="4" t="inlineStr">
        <is>
          <t>Stage 1 (Part 2) early works within the all-stage capex table</t>
        </is>
      </c>
      <c r="N137" s="4" t="inlineStr">
        <is>
          <t>Differs by $0.1m from the $227.9m stated in the 2023 determination; the AER notes numbers may not add due to rounding.</t>
        </is>
      </c>
      <c r="O137" s="4" t="inlineStr">
        <is>
          <t>HUM-AER-2024-CPA2</t>
        </is>
      </c>
      <c r="P137" s="4" t="inlineStr">
        <is>
          <t>34</t>
        </is>
      </c>
      <c r="Q137" s="4" t="inlineStr">
        <is>
          <t>Stage 1 (Part 2) early works - 227.8 227.8</t>
        </is>
      </c>
      <c r="R137" s="4" t="inlineStr"/>
      <c r="S137" s="4" t="inlineStr"/>
    </row>
    <row r="138">
      <c r="A138" s="4" t="inlineStr">
        <is>
          <t>HumeLink</t>
        </is>
      </c>
      <c r="B138" s="4" t="inlineStr">
        <is>
          <t>HUM-PROJECT-HUMELINK</t>
        </is>
      </c>
      <c r="C138" s="4" t="inlineStr">
        <is>
          <t>HUM-AO-2024-AER-CAT-TENDERED</t>
        </is>
      </c>
      <c r="D138" s="4" t="inlineStr">
        <is>
          <t>cost</t>
        </is>
      </c>
      <c r="E138" s="4" t="inlineStr">
        <is>
          <t>2024-08</t>
        </is>
      </c>
      <c r="F138" s="4" t="inlineStr">
        <is>
          <t>AER allowed Stage 2 tendered works</t>
        </is>
      </c>
      <c r="G138" s="4" t="n">
        <v>2590.6</v>
      </c>
      <c r="H138" s="4" t="inlineStr">
        <is>
          <t>AUD million</t>
        </is>
      </c>
      <c r="I138" s="4" t="inlineStr">
        <is>
          <t>real 2022-23 dollars</t>
        </is>
      </c>
      <c r="J138" s="4" t="n"/>
      <c r="K138" s="4" t="inlineStr">
        <is>
          <t>Not stated</t>
        </is>
      </c>
      <c r="L138" s="4" t="inlineStr">
        <is>
          <t>approved / regulator determination by category</t>
        </is>
      </c>
      <c r="M138" s="4" t="inlineStr">
        <is>
          <t>Tendered works (design and construction) category within Stage 2 allowed capex</t>
        </is>
      </c>
      <c r="N138" s="4" t="inlineStr">
        <is>
          <t>A cost view by category, not a component bill of quantities; categories overlap delivery packages and physical components.</t>
        </is>
      </c>
      <c r="O138" s="4" t="inlineStr">
        <is>
          <t>HUM-AER-2024-CPA2</t>
        </is>
      </c>
      <c r="P138" s="4" t="inlineStr">
        <is>
          <t>34</t>
        </is>
      </c>
      <c r="Q138" s="4" t="inlineStr">
        <is>
          <t>Tendered works (design and construction) 2,604.1 2,590.6 −13.5 −0.5%</t>
        </is>
      </c>
      <c r="R138" s="4" t="inlineStr"/>
      <c r="S138" s="4" t="inlineStr"/>
    </row>
    <row r="139">
      <c r="A139" s="4" t="inlineStr">
        <is>
          <t>HumeLink</t>
        </is>
      </c>
      <c r="B139" s="4" t="inlineStr">
        <is>
          <t>HUM-PROJECT-HUMELINK</t>
        </is>
      </c>
      <c r="C139" s="4" t="inlineStr">
        <is>
          <t>HUM-AO-2024-AER-CAT-RISK</t>
        </is>
      </c>
      <c r="D139" s="4" t="inlineStr">
        <is>
          <t>cost</t>
        </is>
      </c>
      <c r="E139" s="4" t="inlineStr">
        <is>
          <t>2024-08</t>
        </is>
      </c>
      <c r="F139" s="4" t="inlineStr">
        <is>
          <t>AER allowed Stage 2 other construction (risk) costs</t>
        </is>
      </c>
      <c r="G139" s="4" t="n">
        <v>382.1</v>
      </c>
      <c r="H139" s="4" t="inlineStr">
        <is>
          <t>AUD million</t>
        </is>
      </c>
      <c r="I139" s="4" t="inlineStr">
        <is>
          <t>real 2022-23 dollars</t>
        </is>
      </c>
      <c r="J139" s="4" t="n"/>
      <c r="K139" s="4" t="inlineStr">
        <is>
          <t>Not stated</t>
        </is>
      </c>
      <c r="L139" s="4" t="inlineStr">
        <is>
          <t>approved / regulator determination by category</t>
        </is>
      </c>
      <c r="M139" s="4" t="inlineStr">
        <is>
          <t>Other construction costs (risk costs) category within Stage 2 allowed capex</t>
        </is>
      </c>
      <c r="N139" s="4" t="inlineStr">
        <is>
          <t>A cost view by category, not a component bill of quantities.</t>
        </is>
      </c>
      <c r="O139" s="4" t="inlineStr">
        <is>
          <t>HUM-AER-2024-CPA2</t>
        </is>
      </c>
      <c r="P139" s="4" t="inlineStr">
        <is>
          <t>34</t>
        </is>
      </c>
      <c r="Q139" s="4" t="inlineStr">
        <is>
          <t>Other construction costs (risk costs) 599.1 382.1 −217.0 −36.2%</t>
        </is>
      </c>
      <c r="R139" s="4" t="inlineStr"/>
      <c r="S139" s="4" t="inlineStr"/>
    </row>
    <row r="140">
      <c r="A140" s="4" t="inlineStr">
        <is>
          <t>HumeLink</t>
        </is>
      </c>
      <c r="B140" s="4" t="inlineStr">
        <is>
          <t>HUM-PROJECT-HUMELINK</t>
        </is>
      </c>
      <c r="C140" s="4" t="inlineStr">
        <is>
          <t>HUM-AO-2024-AER-CAT-LLE</t>
        </is>
      </c>
      <c r="D140" s="4" t="inlineStr">
        <is>
          <t>cost</t>
        </is>
      </c>
      <c r="E140" s="4" t="inlineStr">
        <is>
          <t>2024-08</t>
        </is>
      </c>
      <c r="F140" s="4" t="inlineStr">
        <is>
          <t>AER allowed Stage 2 long lead equipment</t>
        </is>
      </c>
      <c r="G140" s="4" t="n">
        <v>29.6</v>
      </c>
      <c r="H140" s="4" t="inlineStr">
        <is>
          <t>AUD million</t>
        </is>
      </c>
      <c r="I140" s="4" t="inlineStr">
        <is>
          <t>real 2022-23 dollars</t>
        </is>
      </c>
      <c r="J140" s="4" t="n"/>
      <c r="K140" s="4" t="inlineStr">
        <is>
          <t>Not stated</t>
        </is>
      </c>
      <c r="L140" s="4" t="inlineStr">
        <is>
          <t>approved / regulator determination by category</t>
        </is>
      </c>
      <c r="M140" s="4" t="inlineStr">
        <is>
          <t>Long lead equipment category within Stage 2 allowed capex, distinct from the Stage 1 Part 2 LLE allowance</t>
        </is>
      </c>
      <c r="N140" s="4" t="inlineStr">
        <is>
          <t>Not the same boundary as the $227.9m Stage 1 Part 2 long-lead-equipment allowance; do not double count.</t>
        </is>
      </c>
      <c r="O140" s="4" t="inlineStr">
        <is>
          <t>HUM-AER-2024-CPA2</t>
        </is>
      </c>
      <c r="P140" s="4" t="inlineStr">
        <is>
          <t>34</t>
        </is>
      </c>
      <c r="Q140" s="4" t="inlineStr">
        <is>
          <t>Long lead equipment 29.6 29.6 0.0 0.0%</t>
        </is>
      </c>
      <c r="R140" s="4" t="inlineStr"/>
      <c r="S140" s="4" t="inlineStr"/>
    </row>
    <row r="141">
      <c r="A141" s="4" t="inlineStr">
        <is>
          <t>HumeLink</t>
        </is>
      </c>
      <c r="B141" s="4" t="inlineStr">
        <is>
          <t>HUM-PROJECT-HUMELINK</t>
        </is>
      </c>
      <c r="C141" s="4" t="inlineStr">
        <is>
          <t>HUM-AO-2024-AER-CAT-LAND</t>
        </is>
      </c>
      <c r="D141" s="4" t="inlineStr">
        <is>
          <t>cost</t>
        </is>
      </c>
      <c r="E141" s="4" t="inlineStr">
        <is>
          <t>2024-08</t>
        </is>
      </c>
      <c r="F141" s="4" t="inlineStr">
        <is>
          <t>AER allowed Stage 2 land easement acquisition</t>
        </is>
      </c>
      <c r="G141" s="4" t="n">
        <v>197.3</v>
      </c>
      <c r="H141" s="4" t="inlineStr">
        <is>
          <t>AUD million</t>
        </is>
      </c>
      <c r="I141" s="4" t="inlineStr">
        <is>
          <t>real 2022-23 dollars</t>
        </is>
      </c>
      <c r="J141" s="4" t="n"/>
      <c r="K141" s="4" t="inlineStr">
        <is>
          <t>Not stated</t>
        </is>
      </c>
      <c r="L141" s="4" t="inlineStr">
        <is>
          <t>approved / regulator determination by category</t>
        </is>
      </c>
      <c r="M141" s="4" t="inlineStr">
        <is>
          <t>Land easement acquisition category within Stage 2 allowed capex</t>
        </is>
      </c>
      <c r="N141" s="4" t="inlineStr">
        <is>
          <t>A cost view by category, not a component bill of quantities.</t>
        </is>
      </c>
      <c r="O141" s="4" t="inlineStr">
        <is>
          <t>HUM-AER-2024-CPA2</t>
        </is>
      </c>
      <c r="P141" s="4" t="inlineStr">
        <is>
          <t>34</t>
        </is>
      </c>
      <c r="Q141" s="4" t="inlineStr">
        <is>
          <t>Land easement acquisition 197.3 197.3 0.0 0.0%</t>
        </is>
      </c>
      <c r="R141" s="4" t="inlineStr"/>
      <c r="S141" s="4" t="inlineStr"/>
    </row>
    <row r="142">
      <c r="A142" s="4" t="inlineStr">
        <is>
          <t>HumeLink</t>
        </is>
      </c>
      <c r="B142" s="4" t="inlineStr">
        <is>
          <t>HUM-PROJECT-HUMELINK</t>
        </is>
      </c>
      <c r="C142" s="4" t="inlineStr">
        <is>
          <t>HUM-AO-2024-AER-CAT-BIO</t>
        </is>
      </c>
      <c r="D142" s="4" t="inlineStr">
        <is>
          <t>cost</t>
        </is>
      </c>
      <c r="E142" s="4" t="inlineStr">
        <is>
          <t>2024-08</t>
        </is>
      </c>
      <c r="F142" s="4" t="inlineStr">
        <is>
          <t>AER allowed Stage 2 biodiversity offset costs</t>
        </is>
      </c>
      <c r="G142" s="4" t="n">
        <v>353.6</v>
      </c>
      <c r="H142" s="4" t="inlineStr">
        <is>
          <t>AUD million</t>
        </is>
      </c>
      <c r="I142" s="4" t="inlineStr">
        <is>
          <t>real 2022-23 dollars</t>
        </is>
      </c>
      <c r="J142" s="4" t="n"/>
      <c r="K142" s="4" t="inlineStr">
        <is>
          <t>Not stated</t>
        </is>
      </c>
      <c r="L142" s="4" t="inlineStr">
        <is>
          <t>approved / regulator determination by category</t>
        </is>
      </c>
      <c r="M142" s="4" t="inlineStr">
        <is>
          <t>Biodiversity offset costs category within Stage 2 allowed capex</t>
        </is>
      </c>
      <c r="N142" s="4" t="inlineStr">
        <is>
          <t>Not comparable with the PACR's $935m or the addendum's $858m biodiversity figures: different stage boundary, price basis and maturity.</t>
        </is>
      </c>
      <c r="O142" s="4" t="inlineStr">
        <is>
          <t>HUM-AER-2024-CPA2</t>
        </is>
      </c>
      <c r="P142" s="4" t="inlineStr">
        <is>
          <t>34</t>
        </is>
      </c>
      <c r="Q142" s="4" t="inlineStr">
        <is>
          <t>Biodiversity offset costs 437.5 353.6 −83.9 −19.2%</t>
        </is>
      </c>
      <c r="R142" s="4" t="inlineStr"/>
      <c r="S142" s="4" t="inlineStr"/>
    </row>
    <row r="143">
      <c r="A143" s="4" t="inlineStr">
        <is>
          <t>HumeLink</t>
        </is>
      </c>
      <c r="B143" s="4" t="inlineStr">
        <is>
          <t>HUM-PROJECT-HUMELINK</t>
        </is>
      </c>
      <c r="C143" s="4" t="inlineStr">
        <is>
          <t>HUM-AO-2024-AER-CAT-LABOUR</t>
        </is>
      </c>
      <c r="D143" s="4" t="inlineStr">
        <is>
          <t>cost</t>
        </is>
      </c>
      <c r="E143" s="4" t="inlineStr">
        <is>
          <t>2024-08</t>
        </is>
      </c>
      <c r="F143" s="4" t="inlineStr">
        <is>
          <t>AER allowed Stage 2 labour and indirect costs</t>
        </is>
      </c>
      <c r="G143" s="4" t="n">
        <v>411.6</v>
      </c>
      <c r="H143" s="4" t="inlineStr">
        <is>
          <t>AUD million</t>
        </is>
      </c>
      <c r="I143" s="4" t="inlineStr">
        <is>
          <t>real 2022-23 dollars</t>
        </is>
      </c>
      <c r="J143" s="4" t="n"/>
      <c r="K143" s="4" t="inlineStr">
        <is>
          <t>Not stated</t>
        </is>
      </c>
      <c r="L143" s="4" t="inlineStr">
        <is>
          <t>approved / regulator determination by category</t>
        </is>
      </c>
      <c r="M143" s="4" t="inlineStr">
        <is>
          <t>Labour and indirect costs including escalation within Stage 2 allowed capex</t>
        </is>
      </c>
      <c r="N143" s="4" t="inlineStr">
        <is>
          <t>A cost view by category, not a component bill of quantities.</t>
        </is>
      </c>
      <c r="O143" s="4" t="inlineStr">
        <is>
          <t>HUM-AER-2024-CPA2</t>
        </is>
      </c>
      <c r="P143" s="4" t="inlineStr">
        <is>
          <t>34</t>
        </is>
      </c>
      <c r="Q143" s="4" t="inlineStr">
        <is>
          <t>Labour and indirect costs (incl. escalation) 411.6 411.6 0.0 0.0%</t>
        </is>
      </c>
      <c r="R143" s="4" t="inlineStr"/>
      <c r="S143" s="4" t="inlineStr"/>
    </row>
    <row r="144">
      <c r="A144" s="4" t="inlineStr">
        <is>
          <t>HumeLink</t>
        </is>
      </c>
      <c r="B144" s="4" t="inlineStr">
        <is>
          <t>HUM-PROJECT-HUMELINK</t>
        </is>
      </c>
      <c r="C144" s="4" t="inlineStr">
        <is>
          <t>HUM-AO-2024-AER-NETBENEFIT</t>
        </is>
      </c>
      <c r="D144" s="4" t="inlineStr">
        <is>
          <t>other</t>
        </is>
      </c>
      <c r="E144" s="4" t="inlineStr">
        <is>
          <t>2024-08</t>
        </is>
      </c>
      <c r="F144" s="4" t="inlineStr">
        <is>
          <t>AER independent net benefit for Option 3C</t>
        </is>
      </c>
      <c r="G144" s="4" t="n">
        <v>1523</v>
      </c>
      <c r="H144" s="4" t="inlineStr">
        <is>
          <t>AUD million</t>
        </is>
      </c>
      <c r="I144" s="4" t="inlineStr">
        <is>
          <t>real 2022-23 dollars</t>
        </is>
      </c>
      <c r="J144" s="4" t="n"/>
      <c r="K144" s="4" t="inlineStr">
        <is>
          <t>Present value with alternative cost assumptions</t>
        </is>
      </c>
      <c r="L144" s="4" t="inlineStr">
        <is>
          <t>regulator independent modelling</t>
        </is>
      </c>
      <c r="M144" s="4" t="inlineStr">
        <is>
          <t>Net benefit of Option 3C using independent market modelling and alternative cost assumptions</t>
        </is>
      </c>
      <c r="N144" s="4" t="inlineStr">
        <is>
          <t>Not a revision of Transgrid's $4.186bn: different model and cost assumptions. The AER did not endorse Transgrid's benefit estimate.</t>
        </is>
      </c>
      <c r="O144" s="4" t="inlineStr">
        <is>
          <t>HUM-AER-2024-CPA2</t>
        </is>
      </c>
      <c r="P144" s="4" t="inlineStr">
        <is>
          <t>29</t>
        </is>
      </c>
      <c r="Q144" s="4" t="inlineStr">
        <is>
          <t>alternative cost assumptions (present value)C 1,010 1,320 1,523</t>
        </is>
      </c>
      <c r="R144" s="4" t="inlineStr"/>
      <c r="S144" s="4" t="inlineStr">
        <is>
          <t>The row also reports $1,010m for Option 1C-new and $1,320m for Option 2C.</t>
        </is>
      </c>
    </row>
    <row r="145">
      <c r="A145" s="4" t="inlineStr">
        <is>
          <t>HumeLink</t>
        </is>
      </c>
      <c r="B145" s="4" t="inlineStr">
        <is>
          <t>HUM-PROJECT-HUMELINK</t>
        </is>
      </c>
      <c r="C145" s="4" t="inlineStr">
        <is>
          <t>HUM-AO-2024-PLANNING-LENGTH</t>
        </is>
      </c>
      <c r="D145" s="4" t="inlineStr">
        <is>
          <t>trunk_km</t>
        </is>
      </c>
      <c r="E145" s="4" t="inlineStr">
        <is>
          <t>2024-11</t>
        </is>
      </c>
      <c r="F145" s="4" t="inlineStr">
        <is>
          <t>NSW planning approval line length</t>
        </is>
      </c>
      <c r="G145" s="4" t="n">
        <v>365</v>
      </c>
      <c r="H145" s="4" t="inlineStr">
        <is>
          <t>km</t>
        </is>
      </c>
      <c r="I145" s="4" t="n"/>
      <c r="J145" s="4" t="n"/>
      <c r="K145" s="4" t="inlineStr">
        <is>
          <t>Around / approximate</t>
        </is>
      </c>
      <c r="L145" s="4" t="inlineStr">
        <is>
          <t>approved physical scope / planning decision-maker</t>
        </is>
      </c>
      <c r="M145" s="4" t="inlineStr">
        <is>
          <t>New double circuit 500 kV transmission lines between Wagga Wagga, Bannaby and Maragle approved as critical State significant infrastructure</t>
        </is>
      </c>
      <c r="N145" s="4" t="inlineStr">
        <is>
          <t>The metric type is not labelled; the archive does not state whether this is route length or circuit length, and does not reconcile it with 630 km or 360 km.</t>
        </is>
      </c>
      <c r="O145" s="4" t="inlineStr">
        <is>
          <t>HUM-NSW-2024-DECISION</t>
        </is>
      </c>
      <c r="P145" s="4" t="inlineStr">
        <is>
          <t>1</t>
        </is>
      </c>
      <c r="Q145" s="4" t="inlineStr">
        <is>
          <t>development of around 365 kilometres (km) of new double circuit 500 kV transmission lines and associated</t>
        </is>
      </c>
      <c r="R145" s="4" t="inlineStr">
        <is>
          <t>selected</t>
        </is>
      </c>
      <c r="S145" s="4" t="inlineStr">
        <is>
          <t>The same decision separately approves a roughly 2 km rebuild of Line 51 as a double circuit 330 kV line.</t>
        </is>
      </c>
    </row>
    <row r="146">
      <c r="A146" s="4" t="inlineStr">
        <is>
          <t>HumeLink</t>
        </is>
      </c>
      <c r="B146" s="4" t="inlineStr">
        <is>
          <t>HUM-PROJECT-HUMELINK</t>
        </is>
      </c>
      <c r="C146" s="4" t="inlineStr">
        <is>
          <t>HUM-AO-2024-PLANNING-VOLTAGE</t>
        </is>
      </c>
      <c r="D146" s="4" t="inlineStr">
        <is>
          <t>voltage</t>
        </is>
      </c>
      <c r="E146" s="4" t="inlineStr">
        <is>
          <t>2024-11</t>
        </is>
      </c>
      <c r="F146" s="4" t="inlineStr">
        <is>
          <t>NSW planning approval trunk voltage</t>
        </is>
      </c>
      <c r="G146" s="4" t="n">
        <v>500</v>
      </c>
      <c r="H146" s="4" t="inlineStr">
        <is>
          <t>kV</t>
        </is>
      </c>
      <c r="I146" s="4" t="n"/>
      <c r="J146" s="4" t="n"/>
      <c r="K146" s="4" t="inlineStr">
        <is>
          <t>Not applicable</t>
        </is>
      </c>
      <c r="L146" s="4" t="inlineStr">
        <is>
          <t>approved physical scope / planning decision-maker</t>
        </is>
      </c>
      <c r="M146" s="4" t="inlineStr">
        <is>
          <t>Voltage of the approved new double circuit transmission lines</t>
        </is>
      </c>
      <c r="N146" s="4" t="inlineStr">
        <is>
          <t>Legally approved voltage for the trunk lines; the Gugaa-Wagga Wagga line is built to 500 kV but initially operated at 330 kV per the 2026 ISP.</t>
        </is>
      </c>
      <c r="O146" s="4" t="inlineStr">
        <is>
          <t>HUM-NSW-2024-DECISION</t>
        </is>
      </c>
      <c r="P146" s="4" t="inlineStr">
        <is>
          <t>1</t>
        </is>
      </c>
      <c r="Q146" s="4" t="inlineStr">
        <is>
          <t>development of around 365 kilometres (km) of new double circuit 500 kV transmission lines and associated</t>
        </is>
      </c>
      <c r="R146" s="4" t="inlineStr"/>
      <c r="S146" s="4" t="inlineStr"/>
    </row>
    <row r="147">
      <c r="A147" s="4" t="inlineStr">
        <is>
          <t>HumeLink</t>
        </is>
      </c>
      <c r="B147" s="4" t="inlineStr">
        <is>
          <t>HUM-PROJECT-HUMELINK</t>
        </is>
      </c>
      <c r="C147" s="4" t="inlineStr">
        <is>
          <t>HUM-AO-2024-PLANNING-CIV</t>
        </is>
      </c>
      <c r="D147" s="4" t="inlineStr">
        <is>
          <t>cost</t>
        </is>
      </c>
      <c r="E147" s="4" t="inlineStr">
        <is>
          <t>2024-11</t>
        </is>
      </c>
      <c r="F147" s="4" t="inlineStr">
        <is>
          <t>NSW planning capital investment value</t>
        </is>
      </c>
      <c r="G147" s="4" t="n">
        <v>4800</v>
      </c>
      <c r="H147" s="4" t="inlineStr">
        <is>
          <t>AUD million</t>
        </is>
      </c>
      <c r="I147" s="4" t="n"/>
      <c r="J147" s="4" t="n"/>
      <c r="K147" s="4" t="inlineStr">
        <is>
          <t>Not stated</t>
        </is>
      </c>
      <c r="L147" s="4" t="inlineStr">
        <is>
          <t>planning capital-investment value / planning decision-maker</t>
        </is>
      </c>
      <c r="M147" s="4" t="inlineStr">
        <is>
          <t>Capital investment of the approved development under the NSW planning regime</t>
        </is>
      </c>
      <c r="N147" s="4" t="inlineStr">
        <is>
          <t>A planning measure whose comparability to regulated allowed capex is unknown; it is not a substitute for the AER's $4,573.5m.</t>
        </is>
      </c>
      <c r="O147" s="4" t="inlineStr">
        <is>
          <t>HUM-NSW-2024-DECISION</t>
        </is>
      </c>
      <c r="P147" s="4" t="inlineStr">
        <is>
          <t>3</t>
        </is>
      </c>
      <c r="Q147" s="4" t="inlineStr">
        <is>
          <t>investment of $4.8 billion and the creation of up to 1,600 full-time equivalent jobs during</t>
        </is>
      </c>
      <c r="R147" s="4" t="inlineStr"/>
      <c r="S147" s="4" t="inlineStr">
        <is>
          <t>The assessment report states the same $4.8 billion capital investment value at PDF p. 4. Price basis not stated; recorded under PRICE_BASIS_UNKNOWN.</t>
        </is>
      </c>
    </row>
    <row r="148">
      <c r="A148" s="4" t="inlineStr">
        <is>
          <t>HumeLink</t>
        </is>
      </c>
      <c r="B148" s="4" t="inlineStr">
        <is>
          <t>HUM-PROJECT-HUMELINK</t>
        </is>
      </c>
      <c r="C148" s="4" t="inlineStr">
        <is>
          <t>HUM-AO-2026-ISP-COMPLETION</t>
        </is>
      </c>
      <c r="D148" s="4" t="inlineStr">
        <is>
          <t>completion</t>
        </is>
      </c>
      <c r="E148" s="4" t="inlineStr">
        <is>
          <t>2026-06</t>
        </is>
      </c>
      <c r="F148" s="4" t="inlineStr">
        <is>
          <t>2026 ISP expected completion</t>
        </is>
      </c>
      <c r="G148" s="4" t="inlineStr">
        <is>
          <t>2027-12</t>
        </is>
      </c>
      <c r="H148" s="4" t="inlineStr">
        <is>
          <t>date</t>
        </is>
      </c>
      <c r="I148" s="4" t="n"/>
      <c r="J148" s="4" t="n"/>
      <c r="K148" s="4" t="inlineStr">
        <is>
          <t>Expected</t>
        </is>
      </c>
      <c r="L148" s="4" t="inlineStr">
        <is>
          <t>committed project / planner</t>
        </is>
      </c>
      <c r="M148" s="4" t="inlineStr">
        <is>
          <t>Whole HumeLink project as a committed project in the 2026 ISP</t>
        </is>
      </c>
      <c r="N148" s="4" t="inlineStr">
        <is>
          <t>A forecast, not an achieved completion. It supersedes the July 2026 and December 2026 targets but no archived source explains the change.</t>
        </is>
      </c>
      <c r="O148" s="4" t="inlineStr">
        <is>
          <t>HUM-AEMO-2026-ISP-A5</t>
        </is>
      </c>
      <c r="P148" s="4" t="inlineStr">
        <is>
          <t>18</t>
        </is>
      </c>
      <c r="Q148" s="4" t="inlineStr">
        <is>
          <t>and is expected to be completed by December 2027</t>
        </is>
      </c>
      <c r="R148" s="4" t="inlineStr">
        <is>
          <t>selected</t>
        </is>
      </c>
      <c r="S148" s="4" t="inlineStr">
        <is>
          <t>The delivery-scope table states 'Committed project December 2027'.</t>
        </is>
      </c>
    </row>
    <row r="149">
      <c r="A149" s="4" t="inlineStr">
        <is>
          <t>HumeLink</t>
        </is>
      </c>
      <c r="B149" s="4" t="inlineStr">
        <is>
          <t>HUM-PROJECT-HUMELINK</t>
        </is>
      </c>
      <c r="C149" s="4" t="inlineStr">
        <is>
          <t>HUM-AO-2026-ISP-CAPACITY</t>
        </is>
      </c>
      <c r="D149" s="4" t="inlineStr">
        <is>
          <t>capacity</t>
        </is>
      </c>
      <c r="E149" s="4" t="inlineStr">
        <is>
          <t>2026-06</t>
        </is>
      </c>
      <c r="F149" s="4" t="inlineStr">
        <is>
          <t>2026 ISP transfer capability increase</t>
        </is>
      </c>
      <c r="G149" s="4" t="n">
        <v>2200</v>
      </c>
      <c r="H149" s="4" t="inlineStr">
        <is>
          <t>MW</t>
        </is>
      </c>
      <c r="I149" s="4" t="n"/>
      <c r="J149" s="4" t="n"/>
      <c r="K149" s="4" t="inlineStr">
        <is>
          <t>Not stated</t>
        </is>
      </c>
      <c r="L149" s="4" t="inlineStr">
        <is>
          <t>committed project / planner</t>
        </is>
      </c>
      <c r="M149" s="4" t="inlineStr">
        <is>
          <t>Increase in transfer capability between SNSW and CNSW in both directions after HumeLink is in service</t>
        </is>
      </c>
      <c r="N149" s="4" t="inlineStr">
        <is>
          <t>A directional transfer-capability increase, not a line rating and not the same measure as the RIT-T's 2,570 MW additional firm capacity.</t>
        </is>
      </c>
      <c r="O149" s="4" t="inlineStr">
        <is>
          <t>HUM-AEMO-2026-ISP-A5</t>
        </is>
      </c>
      <c r="P149" s="4" t="inlineStr">
        <is>
          <t>18</t>
        </is>
      </c>
      <c r="Q149" s="4" t="inlineStr">
        <is>
          <t>After HumeLink is in service, the transfer capability between SNSW and CNSW will increase by 2,200 MW in both directions.</t>
        </is>
      </c>
      <c r="R149" s="4" t="inlineStr">
        <is>
          <t>selected</t>
        </is>
      </c>
      <c r="S149" s="4" t="inlineStr">
        <is>
          <t>The delivery-scope table states Forward: 2,200 and Reverse: 2,200, plus REZ figures of 400 MW (N5) and 2,200 MW (N6+N7).</t>
        </is>
      </c>
    </row>
    <row r="150">
      <c r="A150" s="4" t="inlineStr">
        <is>
          <t>HumeLink</t>
        </is>
      </c>
      <c r="B150" s="4" t="inlineStr">
        <is>
          <t>HUM-PROJECT-HUMELINK</t>
        </is>
      </c>
      <c r="C150" s="4" t="inlineStr">
        <is>
          <t>HUM-AO-2026-ISP-LENGTH</t>
        </is>
      </c>
      <c r="D150" s="4" t="inlineStr">
        <is>
          <t>trunk_km</t>
        </is>
      </c>
      <c r="E150" s="4" t="inlineStr">
        <is>
          <t>2026-06</t>
        </is>
      </c>
      <c r="F150" s="4" t="inlineStr">
        <is>
          <t>2026 ISP length attributed to HumeLink</t>
        </is>
      </c>
      <c r="G150" s="4" t="n">
        <v>365</v>
      </c>
      <c r="H150" s="4" t="inlineStr">
        <is>
          <t>km</t>
        </is>
      </c>
      <c r="I150" s="4" t="n"/>
      <c r="J150" s="4" t="n"/>
      <c r="K150" s="4" t="inlineStr">
        <is>
          <t>Not stated</t>
        </is>
      </c>
      <c r="L150" s="4" t="inlineStr">
        <is>
          <t>committed project / planner</t>
        </is>
      </c>
      <c r="M150" s="4" t="inlineStr">
        <is>
          <t>Length removed from the actionable-project total when HumeLink progressed from actionable to committed</t>
        </is>
      </c>
      <c r="N150" s="4" t="inlineStr">
        <is>
          <t>Stated as a change in the actionable-project kilometre total, not as a project route length; the metric type is not labelled.</t>
        </is>
      </c>
      <c r="O150" s="4" t="inlineStr">
        <is>
          <t>HUM-AEMO-2026-ISP-A5</t>
        </is>
      </c>
      <c r="P150" s="4" t="inlineStr">
        <is>
          <t>12</t>
        </is>
      </c>
      <c r="Q150" s="4" t="inlineStr">
        <is>
          <t>– HumeLink progressed from actionable to committed: -365 km.</t>
        </is>
      </c>
      <c r="R150" s="4" t="inlineStr"/>
      <c r="S150" s="4" t="inlineStr">
        <is>
          <t>The negative sign reflects removal from the actionable total, not a negative length.</t>
        </is>
      </c>
    </row>
    <row r="151">
      <c r="A151" s="4" t="inlineStr">
        <is>
          <t>HumeLink</t>
        </is>
      </c>
      <c r="B151" s="4" t="inlineStr">
        <is>
          <t>HUM-PROJECT-HUMELINK</t>
        </is>
      </c>
      <c r="C151" s="4" t="inlineStr">
        <is>
          <t>HUM-AO-2026-ISP-CIRCUITS</t>
        </is>
      </c>
      <c r="D151" s="4" t="inlineStr">
        <is>
          <t>circuits</t>
        </is>
      </c>
      <c r="E151" s="4" t="inlineStr">
        <is>
          <t>2026-06</t>
        </is>
      </c>
      <c r="F151" s="4" t="inlineStr">
        <is>
          <t>2026 ISP new 500 kV transmission circuits</t>
        </is>
      </c>
      <c r="G151" s="4" t="n">
        <v>3</v>
      </c>
      <c r="H151" s="4" t="inlineStr">
        <is>
          <t>count</t>
        </is>
      </c>
      <c r="I151" s="4" t="n"/>
      <c r="J151" s="4" t="n"/>
      <c r="K151" s="4" t="inlineStr">
        <is>
          <t>Not stated</t>
        </is>
      </c>
      <c r="L151" s="4" t="inlineStr">
        <is>
          <t>committed project scope / planner</t>
        </is>
      </c>
      <c r="M151" s="4" t="inlineStr">
        <is>
          <t>Three new 500 kV transmission circuits between Maragle-Bannaby, Maragle-Gugaa and Gugaa-Bannaby</t>
        </is>
      </c>
      <c r="N151" s="4" t="inlineStr">
        <is>
          <t>The 2026 ISP says 'circuits' where the 2021 PACR says 'lines'; the 2024 ISP adds that these circuits are built on double-circuit structures. The archive does not normalise the terms.</t>
        </is>
      </c>
      <c r="O151" s="4" t="inlineStr">
        <is>
          <t>HUM-AEMO-2026-ISP-A5</t>
        </is>
      </c>
      <c r="P151" s="4" t="inlineStr">
        <is>
          <t>18</t>
        </is>
      </c>
      <c r="Q151" s="4" t="inlineStr">
        <is>
          <t>• Three new 500 kV transmission circuits between:</t>
        </is>
      </c>
      <c r="R151" s="4" t="inlineStr"/>
      <c r="S151" s="4" t="inlineStr">
        <is>
          <t>A separate new 500 kV double-circuit line between Gugaa and Wagga Wagga, initially operated at 330 kV, is listed in the same scope.</t>
        </is>
      </c>
    </row>
    <row r="152">
      <c r="A152" s="4" t="inlineStr">
        <is>
          <t>HumeLink</t>
        </is>
      </c>
      <c r="B152" s="4" t="inlineStr">
        <is>
          <t>HUM-PROJECT-HUMELINK</t>
        </is>
      </c>
      <c r="C152" s="4" t="inlineStr">
        <is>
          <t>HUM-AO-2026-ISP-TX-MARAGLE</t>
        </is>
      </c>
      <c r="D152" s="4" t="inlineStr">
        <is>
          <t>transformers_mva</t>
        </is>
      </c>
      <c r="E152" s="4" t="inlineStr">
        <is>
          <t>2026-06</t>
        </is>
      </c>
      <c r="F152" s="4" t="inlineStr">
        <is>
          <t>2026 ISP transformers at Maragle substation</t>
        </is>
      </c>
      <c r="G152" s="4" t="n">
        <v>1500</v>
      </c>
      <c r="H152" s="4" t="inlineStr">
        <is>
          <t>MVA</t>
        </is>
      </c>
      <c r="I152" s="4" t="n"/>
      <c r="J152" s="4" t="n"/>
      <c r="K152" s="4" t="inlineStr">
        <is>
          <t>Not stated</t>
        </is>
      </c>
      <c r="L152" s="4" t="inlineStr">
        <is>
          <t>committed project scope / planner</t>
        </is>
      </c>
      <c r="M152" s="4" t="inlineStr">
        <is>
          <t>Unit rating of each of three 500/330 kV transformers at Maragle substation</t>
        </is>
      </c>
      <c r="N152" s="4" t="inlineStr">
        <is>
          <t>Unit rating as published; the source states a count of three and publishes no cumulative MVA total.</t>
        </is>
      </c>
      <c r="O152" s="4" t="inlineStr">
        <is>
          <t>HUM-AEMO-2026-ISP-A5</t>
        </is>
      </c>
      <c r="P152" s="4" t="inlineStr">
        <is>
          <t>19</t>
        </is>
      </c>
      <c r="Q152" s="4" t="inlineStr">
        <is>
          <t>• Three 500/330 kV 1,500 MVA transformers at Maragle substation.</t>
        </is>
      </c>
      <c r="R152" s="4" t="inlineStr">
        <is>
          <t>selected</t>
        </is>
      </c>
      <c r="S152" s="4" t="inlineStr">
        <is>
          <t>Count = 3.</t>
        </is>
      </c>
    </row>
    <row r="153">
      <c r="A153" s="4" t="inlineStr">
        <is>
          <t>HumeLink</t>
        </is>
      </c>
      <c r="B153" s="4" t="inlineStr">
        <is>
          <t>HUM-PROJECT-HUMELINK</t>
        </is>
      </c>
      <c r="C153" s="4" t="inlineStr">
        <is>
          <t>HUM-AO-2026-ISP-TX-GUGAA</t>
        </is>
      </c>
      <c r="D153" s="4" t="inlineStr">
        <is>
          <t>transformers_mva</t>
        </is>
      </c>
      <c r="E153" s="4" t="inlineStr">
        <is>
          <t>2026-06</t>
        </is>
      </c>
      <c r="F153" s="4" t="inlineStr">
        <is>
          <t>2026 ISP transformers at new Gugaa substation</t>
        </is>
      </c>
      <c r="G153" s="4" t="n">
        <v>1500</v>
      </c>
      <c r="H153" s="4" t="inlineStr">
        <is>
          <t>MVA</t>
        </is>
      </c>
      <c r="I153" s="4" t="n"/>
      <c r="J153" s="4" t="n"/>
      <c r="K153" s="4" t="inlineStr">
        <is>
          <t>Not stated</t>
        </is>
      </c>
      <c r="L153" s="4" t="inlineStr">
        <is>
          <t>committed project scope / planner</t>
        </is>
      </c>
      <c r="M153" s="4" t="inlineStr">
        <is>
          <t>Unit rating of each of two 500/330 kV transformers at the new Gugaa substation</t>
        </is>
      </c>
      <c r="N153" s="4" t="inlineStr">
        <is>
          <t>Unit rating as published; the source states a count of two and publishes no cumulative MVA total.</t>
        </is>
      </c>
      <c r="O153" s="4" t="inlineStr">
        <is>
          <t>HUM-AEMO-2026-ISP-A5</t>
        </is>
      </c>
      <c r="P153" s="4" t="inlineStr">
        <is>
          <t>19</t>
        </is>
      </c>
      <c r="Q153" s="4" t="inlineStr">
        <is>
          <t>• Two 500/330 kV 1,500 MVA transformers at new Gugaa substation.</t>
        </is>
      </c>
      <c r="R153" s="4" t="inlineStr"/>
      <c r="S153" s="4" t="inlineStr">
        <is>
          <t>Count = 2.</t>
        </is>
      </c>
    </row>
    <row r="154">
      <c r="A154" s="4" t="inlineStr">
        <is>
          <t>HumeLink</t>
        </is>
      </c>
      <c r="B154" s="4" t="inlineStr">
        <is>
          <t>HUM-PROJECT-HUMELINK</t>
        </is>
      </c>
      <c r="C154" s="4" t="inlineStr">
        <is>
          <t>HUM-AO-2026-WONDALGA-COST</t>
        </is>
      </c>
      <c r="D154" s="4" t="inlineStr">
        <is>
          <t>cost</t>
        </is>
      </c>
      <c r="E154" s="4" t="inlineStr">
        <is>
          <t>2026-06</t>
        </is>
      </c>
      <c r="F154" s="4" t="inlineStr">
        <is>
          <t>Switching Station Near Wondalga reported cost</t>
        </is>
      </c>
      <c r="G154" s="4" t="n">
        <v>220</v>
      </c>
      <c r="H154" s="4" t="inlineStr">
        <is>
          <t>AUD million</t>
        </is>
      </c>
      <c r="I154" s="4" t="n"/>
      <c r="J154" s="4" t="inlineStr">
        <is>
          <t>Class 5b</t>
        </is>
      </c>
      <c r="K154" s="4" t="inlineStr">
        <is>
          <t>±50%</t>
        </is>
      </c>
      <c r="L154" s="4" t="inlineStr">
        <is>
          <t>reported cost / newly actionable ISP project</t>
        </is>
      </c>
      <c r="M154" s="4" t="inlineStr">
        <is>
          <t>Switching Station Near Wondalga: a switching station at the Y-point connecting the three 500 kV HumeLink lines, plus four line reactors. A formally separate project with HumeLink as prerequisite</t>
        </is>
      </c>
      <c r="N154" s="4" t="inlineStr">
        <is>
          <t>Not part of HumeLink's approved cost. Including it requires an explicit, named cost-view rule; it is a different maturity class and price basis from every HumeLink amount.</t>
        </is>
      </c>
      <c r="O154" s="4" t="inlineStr">
        <is>
          <t>HUM-AEMO-2026-ISP-A5</t>
        </is>
      </c>
      <c r="P154" s="4" t="inlineStr">
        <is>
          <t>48</t>
        </is>
      </c>
      <c r="Q154" s="4" t="inlineStr">
        <is>
          <t>220 
Class 5b (±50%)</t>
        </is>
      </c>
      <c r="R154" s="4" t="inlineStr"/>
      <c r="S154" s="4" t="inlineStr">
        <is>
          <t>Price basis not stated; recorded under PRICE_BASIS_UNKNOWN.</t>
        </is>
      </c>
    </row>
    <row r="155">
      <c r="A155" s="4" t="inlineStr">
        <is>
          <t>HumeLink</t>
        </is>
      </c>
      <c r="B155" s="4" t="inlineStr">
        <is>
          <t>HUM-PROJECT-HUMELINK</t>
        </is>
      </c>
      <c r="C155" s="4" t="inlineStr">
        <is>
          <t>HUM-AO-2026-WONDALGA-CAPACITY</t>
        </is>
      </c>
      <c r="D155" s="4" t="inlineStr">
        <is>
          <t>capacity</t>
        </is>
      </c>
      <c r="E155" s="4" t="inlineStr">
        <is>
          <t>2026-06</t>
        </is>
      </c>
      <c r="F155" s="4" t="inlineStr">
        <is>
          <t>Switching Station Near Wondalga additional transfer capacity</t>
        </is>
      </c>
      <c r="G155" s="4" t="n">
        <v>450</v>
      </c>
      <c r="H155" s="4" t="inlineStr">
        <is>
          <t>MW</t>
        </is>
      </c>
      <c r="I155" s="4" t="n"/>
      <c r="J155" s="4" t="n"/>
      <c r="K155" s="4" t="inlineStr">
        <is>
          <t>Not stated</t>
        </is>
      </c>
      <c r="L155" s="4" t="inlineStr">
        <is>
          <t>newly actionable ISP project / planner</t>
        </is>
      </c>
      <c r="M155" s="4" t="inlineStr">
        <is>
          <t>Additional transfer capacity on the SNSW to CNSW flow path delivered by the switching station, stated as Forward: 450 and Reverse: 450</t>
        </is>
      </c>
      <c r="N155" s="4" t="inlineStr">
        <is>
          <t>A separate project's capacity; do not add it to HumeLink's 2,200 MW without a named scope rule.</t>
        </is>
      </c>
      <c r="O155" s="4" t="inlineStr">
        <is>
          <t>HUM-AEMO-2026-ISP-A5</t>
        </is>
      </c>
      <c r="P155" s="4" t="inlineStr">
        <is>
          <t>47</t>
        </is>
      </c>
      <c r="Q155" s="4" t="inlineStr">
        <is>
          <t>providing an additional 450 MW of transfer capacity to the SNSW to CNSW flow path</t>
        </is>
      </c>
      <c r="R155" s="4" t="inlineStr"/>
      <c r="S155" s="4" t="inlineStr"/>
    </row>
    <row r="156">
      <c r="A156" s="4" t="inlineStr">
        <is>
          <t>HumeLink</t>
        </is>
      </c>
      <c r="B156" s="4" t="inlineStr">
        <is>
          <t>HUM-PROJECT-HUMELINK</t>
        </is>
      </c>
      <c r="C156" s="4" t="inlineStr">
        <is>
          <t>HUM-AO-2026-WONDALGA-TIMING</t>
        </is>
      </c>
      <c r="D156" s="4" t="inlineStr">
        <is>
          <t>completion</t>
        </is>
      </c>
      <c r="E156" s="4" t="inlineStr">
        <is>
          <t>2026-06</t>
        </is>
      </c>
      <c r="F156" s="4" t="inlineStr">
        <is>
          <t>Switching Station Near Wondalga proponent timing</t>
        </is>
      </c>
      <c r="G156" s="4" t="inlineStr">
        <is>
          <t>2031-04</t>
        </is>
      </c>
      <c r="H156" s="4" t="inlineStr">
        <is>
          <t>date</t>
        </is>
      </c>
      <c r="I156" s="4" t="n"/>
      <c r="J156" s="4" t="n"/>
      <c r="K156" s="4" t="inlineStr">
        <is>
          <t>Timing advised by proponent</t>
        </is>
      </c>
      <c r="L156" s="4" t="inlineStr">
        <is>
          <t>newly actionable ISP project / proponent advice</t>
        </is>
      </c>
      <c r="M156" s="4" t="inlineStr">
        <is>
          <t>Target in-service timing for the switching station</t>
        </is>
      </c>
      <c r="N156" s="4" t="inlineStr">
        <is>
          <t>Four years after HumeLink's expected December 2027 completion; a separate schedule.</t>
        </is>
      </c>
      <c r="O156" s="4" t="inlineStr">
        <is>
          <t>HUM-AEMO-2026-ISP-A5</t>
        </is>
      </c>
      <c r="P156" s="4" t="inlineStr">
        <is>
          <t>48</t>
        </is>
      </c>
      <c r="Q156" s="4" t="inlineStr">
        <is>
          <t>April 203192</t>
        </is>
      </c>
      <c r="R156" s="4" t="inlineStr"/>
      <c r="S156" s="4" t="inlineStr">
        <is>
          <t>The trailing '92' in the excerpt is a footnote marker; AEMO modelled an earliest in-service date of December 2030 as advised by Transgrid.</t>
        </is>
      </c>
    </row>
    <row r="157">
      <c r="A157" s="4" t="inlineStr">
        <is>
          <t>HumeLink</t>
        </is>
      </c>
      <c r="B157" s="4" t="inlineStr">
        <is>
          <t>HUM-PROJECT-HUMELINK</t>
        </is>
      </c>
      <c r="C157" s="4" t="inlineStr">
        <is>
          <t>HUM-AO-2025-WEST-NEWS-COMPLETION</t>
        </is>
      </c>
      <c r="D157" s="4" t="inlineStr">
        <is>
          <t>completion</t>
        </is>
      </c>
      <c r="E157" s="4" t="inlineStr">
        <is>
          <t>2025-10</t>
        </is>
      </c>
      <c r="F157" s="4" t="inlineStr">
        <is>
          <t>HumeLink West newsletter: expected completion timing</t>
        </is>
      </c>
      <c r="G157" s="4" t="inlineStr">
        <is>
          <t>late 2027</t>
        </is>
      </c>
      <c r="H157" s="4" t="inlineStr">
        <is>
          <t>date</t>
        </is>
      </c>
      <c r="I157" s="4" t="n"/>
      <c r="J157" s="4" t="n"/>
      <c r="K157" s="4" t="n"/>
      <c r="L157" s="4" t="inlineStr">
        <is>
          <t>proponent newsletter statement</t>
        </is>
      </c>
      <c r="M157" s="4" t="inlineStr">
        <is>
          <t>Whole HumeLink project (not limited to the HumeLink West section)</t>
        </is>
      </c>
      <c r="N157" s="4" t="inlineStr">
        <is>
          <t>Consistent in kind with the 2026 ISP's December 2027 expected completion (HUM-AO-2026-ISP-COMPLETION); does not itself explain the earlier July 2026 / December 2026 timing or the change to December 2027.</t>
        </is>
      </c>
      <c r="O157" s="4" t="inlineStr">
        <is>
          <t>HUM-TG-2025-WEST-NEWS-OCT</t>
        </is>
      </c>
      <c r="P157" s="4" t="inlineStr">
        <is>
          <t>1</t>
        </is>
      </c>
      <c r="Q157" s="4" t="inlineStr">
        <is>
          <t>When completed in late 2027, the project will significantly increase power grid capacity by better connecting and distributing electricity in Australia’s eastern states.</t>
        </is>
      </c>
      <c r="R157" s="4" t="inlineStr"/>
      <c r="S157" s="4" t="inlineStr"/>
    </row>
    <row r="158">
      <c r="A158" s="4" t="inlineStr">
        <is>
          <t>HumeLink</t>
        </is>
      </c>
      <c r="B158" s="4" t="inlineStr">
        <is>
          <t>HUM-PROJECT-HUMELINK</t>
        </is>
      </c>
      <c r="C158" s="4" t="inlineStr">
        <is>
          <t>HUM-AO-2025-WEST-NEWS-CONSTRUCTION</t>
        </is>
      </c>
      <c r="D158" s="4" t="inlineStr">
        <is>
          <t>other</t>
        </is>
      </c>
      <c r="E158" s="4" t="inlineStr">
        <is>
          <t>2025-10</t>
        </is>
      </c>
      <c r="F158" s="4" t="inlineStr">
        <is>
          <t>HumeLink West newsletter: construction progress</t>
        </is>
      </c>
      <c r="G158" s="4" t="n"/>
      <c r="H158" s="4" t="n"/>
      <c r="I158" s="4" t="n"/>
      <c r="J158" s="4" t="n"/>
      <c r="K158" s="4" t="n"/>
      <c r="L158" s="4" t="inlineStr">
        <is>
          <t>proponent newsletter statement</t>
        </is>
      </c>
      <c r="M158" s="4" t="inlineStr">
        <is>
          <t>HumeLink West section (140 km of the 365 km whole-project alignment), between Wagga Wagga, Bannaby and Maragle</t>
        </is>
      </c>
      <c r="N158" s="4" t="inlineStr">
        <is>
          <t>First physical construction milestone reported for HumeLink West; does not itself state a project-wide construction status.</t>
        </is>
      </c>
      <c r="O158" s="4" t="inlineStr">
        <is>
          <t>HUM-TG-2025-WEST-NEWS-OCT</t>
        </is>
      </c>
      <c r="P158" s="4" t="inlineStr">
        <is>
          <t>1</t>
        </is>
      </c>
      <c r="Q158" s="4" t="inlineStr">
        <is>
          <t>Preparations are in place to erect the first transmission tower on the 140 kilometre HumeLink West section of HumeLink.</t>
        </is>
      </c>
      <c r="R158" s="4" t="inlineStr"/>
      <c r="S158" s="4" t="inlineStr">
        <is>
          <t>Same page states earthworks underway for around 70 access points and the first third of about 300 km of access tracks, and that bulk civil earthworks are underway or nearing completion at the Maragle, Gugaa and Wagga Wagga substation sites.</t>
        </is>
      </c>
    </row>
    <row r="159">
      <c r="A159" s="4" t="inlineStr">
        <is>
          <t>HumeLink</t>
        </is>
      </c>
      <c r="B159" s="4" t="inlineStr">
        <is>
          <t>HUM-PROJECT-HUMELINK</t>
        </is>
      </c>
      <c r="C159" s="4" t="inlineStr">
        <is>
          <t>HUM-AO-2025-WEST-NEWS-ECON-IMPACT</t>
        </is>
      </c>
      <c r="D159" s="4" t="inlineStr">
        <is>
          <t>other</t>
        </is>
      </c>
      <c r="E159" s="4" t="inlineStr">
        <is>
          <t>2025-10</t>
        </is>
      </c>
      <c r="F159" s="4" t="inlineStr">
        <is>
          <t>HumeLink West newsletter: economic impact figure (not a cost)</t>
        </is>
      </c>
      <c r="G159" s="4" t="n">
        <v>6300</v>
      </c>
      <c r="H159" s="4" t="inlineStr">
        <is>
          <t>AUD million</t>
        </is>
      </c>
      <c r="I159" s="4" t="n"/>
      <c r="J159" s="4" t="n"/>
      <c r="K159" s="4" t="n"/>
      <c r="L159" s="4" t="inlineStr">
        <is>
          <t>proponent newsletter statement</t>
        </is>
      </c>
      <c r="M159" s="4" t="inlineStr">
        <is>
          <t>Whole HumeLink project; direct and indirect regional economic investment/impact measure, not a capital cost or outturn</t>
        </is>
      </c>
      <c r="N159" s="4" t="inlineStr">
        <is>
          <t>An economic-impact/benefit measure, not comparable with any capital cost, allowance or outturn observation in this pack (e.g. HUM-AO-2024-ISP-COST or the AER's Stage 2 allowance); do not treat as a cost.</t>
        </is>
      </c>
      <c r="O159" s="4" t="inlineStr">
        <is>
          <t>HUM-TG-2025-WEST-NEWS-OCT</t>
        </is>
      </c>
      <c r="P159" s="4" t="inlineStr">
        <is>
          <t>1</t>
        </is>
      </c>
      <c r="Q159" s="4" t="inlineStr">
        <is>
          <t>The nation-critical HumeLink project is on track to generate up to 1,600 jobs and drive $6.3 billion of direct and indirect investment into the surrounding regional economy.</t>
        </is>
      </c>
      <c r="R159" s="4" t="inlineStr"/>
      <c r="S159" s="4" t="inlineStr">
        <is>
          <t>The 1,600 jobs figure matches the 'up to 1,600 full-time equivalent jobs' figure separately stated in the NSW planning decision (HUM-NSW-2024-DECISION), which pairs it with the unrelated $4.8 billion planning capital investment value; see NON_COMPARABLE_SERIES.</t>
        </is>
      </c>
    </row>
    <row r="160">
      <c r="A160" s="4" t="inlineStr">
        <is>
          <t>Hunter Transmission Project</t>
        </is>
      </c>
      <c r="B160" s="4" t="inlineStr">
        <is>
          <t>HTP-PROJECT-HTP</t>
        </is>
      </c>
      <c r="C160" s="4" t="inlineStr">
        <is>
          <t>HTP-AO-2026-COST</t>
        </is>
      </c>
      <c r="D160" s="4" t="inlineStr">
        <is>
          <t>cost</t>
        </is>
      </c>
      <c r="E160" s="4" t="inlineStr">
        <is>
          <t>2026-06</t>
        </is>
      </c>
      <c r="F160" s="4" t="inlineStr">
        <is>
          <t>AEMO 2026 ISP Appendix A5 CNSW-SNW Option 1 reported cost</t>
        </is>
      </c>
      <c r="G160" s="4" t="n">
        <v>1364</v>
      </c>
      <c r="H160" s="4" t="inlineStr">
        <is>
          <t>AUD million</t>
        </is>
      </c>
      <c r="I160" s="4" t="n"/>
      <c r="J160" s="4" t="inlineStr">
        <is>
          <t>Class 5b</t>
        </is>
      </c>
      <c r="K160" s="4" t="inlineStr">
        <is>
          <t>±50%</t>
        </is>
      </c>
      <c r="L160" s="4" t="inlineStr">
        <is>
          <t>reported cost / actionable New South Wales project option</t>
        </is>
      </c>
      <c r="M160" s="4" t="inlineStr">
        <is>
          <t>CNSW-SNW Option 1 as represented by AEMO, named the Hunter Transmission Project and stated to include the Waratah Super Battery and related upgrades</t>
        </is>
      </c>
      <c r="N160" s="4" t="inlineStr">
        <is>
          <t>Not like-for-like with the 2024 ISP $1,099m or the May 2023 NSW Network Infrastructure Strategy Stage 1 amount: different vintage, dollar year not stated, and a bundled WSB scope assertion.</t>
        </is>
      </c>
      <c r="O160" s="4" t="inlineStr">
        <is>
          <t>HUM-AEMO-2026-ISP-A5</t>
        </is>
      </c>
      <c r="P160" s="4" t="inlineStr">
        <is>
          <t>39</t>
        </is>
      </c>
      <c r="Q160" s="4" t="inlineStr">
        <is>
          <t xml:space="preserve">1,364 
Class 5b (±50%) </t>
        </is>
      </c>
      <c r="R160" s="4" t="inlineStr">
        <is>
          <t>selected</t>
        </is>
      </c>
      <c r="S160" s="4" t="inlineStr">
        <is>
          <t>The table gives no price basis; recorded under PRICE_BASIS_UNKNOWN.</t>
        </is>
      </c>
    </row>
    <row r="161">
      <c r="A161" s="4" t="inlineStr">
        <is>
          <t>Hunter Transmission Project</t>
        </is>
      </c>
      <c r="B161" s="4" t="inlineStr">
        <is>
          <t>HTP-PROJECT-HTP</t>
        </is>
      </c>
      <c r="C161" s="4" t="inlineStr">
        <is>
          <t>HTP-AO-2024-COST</t>
        </is>
      </c>
      <c r="D161" s="4" t="inlineStr">
        <is>
          <t>cost</t>
        </is>
      </c>
      <c r="E161" s="4" t="inlineStr">
        <is>
          <t>2024-06</t>
        </is>
      </c>
      <c r="F161" s="4" t="inlineStr">
        <is>
          <t>AEMO 2024 ISP Appendix A5 Option 1 expected cost</t>
        </is>
      </c>
      <c r="G161" s="4" t="n">
        <v>1099</v>
      </c>
      <c r="H161" s="4" t="inlineStr">
        <is>
          <t>AUD million</t>
        </is>
      </c>
      <c r="I161" s="4" t="n"/>
      <c r="J161" s="4" t="inlineStr">
        <is>
          <t>Not stated (±50% range given)</t>
        </is>
      </c>
      <c r="K161" s="4" t="inlineStr">
        <is>
          <t>±50%</t>
        </is>
      </c>
      <c r="L161" s="4" t="inlineStr">
        <is>
          <t>expected cost / actionable NSW project option</t>
        </is>
      </c>
      <c r="M161" s="4" t="inlineStr">
        <is>
          <t>Option 1 Sydney Ring Northern 500 kV loop as represented by AEMO in 2024, which 'may include' the Waratah Super Battery and related upgrades</t>
        </is>
      </c>
      <c r="N161" s="4" t="inlineStr">
        <is>
          <t>Separate dated ISP observation. The $265m difference from the 2026 amount is not labelled an overrun or a revision by any source and is not treated as a series.</t>
        </is>
      </c>
      <c r="O161" s="4" t="inlineStr">
        <is>
          <t>HUM-AEMO-2024-ISP-A5</t>
        </is>
      </c>
      <c r="P161" s="4" t="inlineStr">
        <is>
          <t>24</t>
        </is>
      </c>
      <c r="Q161" s="4" t="inlineStr">
        <is>
          <t xml:space="preserve">1,099 
(±50%) </t>
        </is>
      </c>
      <c r="R161" s="4" t="inlineStr"/>
      <c r="S161" s="4" t="inlineStr">
        <is>
          <t>The table gives no price basis; recorded under PRICE_BASIS_UNKNOWN.</t>
        </is>
      </c>
    </row>
    <row r="162">
      <c r="A162" s="4" t="inlineStr">
        <is>
          <t>Hunter Transmission Project</t>
        </is>
      </c>
      <c r="B162" s="4" t="inlineStr">
        <is>
          <t>HTP-PROJECT-HTP</t>
        </is>
      </c>
      <c r="C162" s="4" t="inlineStr">
        <is>
          <t>HTP-AO-2023-NIS-STAGE1-COST</t>
        </is>
      </c>
      <c r="D162" s="4" t="inlineStr">
        <is>
          <t>cost</t>
        </is>
      </c>
      <c r="E162" s="4" t="inlineStr">
        <is>
          <t>2023-05</t>
        </is>
      </c>
      <c r="F162" s="4" t="inlineStr">
        <is>
          <t>NSW Network Infrastructure Strategy HTP Stage 1 preliminary estimate</t>
        </is>
      </c>
      <c r="G162" s="4" t="n">
        <v>1000</v>
      </c>
      <c r="H162" s="4" t="inlineStr">
        <is>
          <t>AUD million</t>
        </is>
      </c>
      <c r="I162" s="4" t="inlineStr">
        <is>
          <t>Real 2021 Australian dollars</t>
        </is>
      </c>
      <c r="J162" s="4" t="inlineStr">
        <is>
          <t>Class 5b</t>
        </is>
      </c>
      <c r="K162" s="4" t="inlineStr">
        <is>
          <t>±50%</t>
        </is>
      </c>
      <c r="L162" s="4" t="inlineStr">
        <is>
          <t>construction cost preliminary estimate</t>
        </is>
      </c>
      <c r="M162" s="4" t="inlineStr">
        <is>
          <t>HTP Stage 1 only, as scoped by EnergyCo in May 2023 (Bayswater to Eraring 500 kV double circuit); development and construction costs only</t>
        </is>
      </c>
      <c r="N162" s="4" t="inlineStr">
        <is>
          <t>Not like-for-like with either ISP amount: earlier vintage, 2021 dollars, EnergyCo Stage 1 scope, and stated exclusions of finance, generator connection and system strength costs.</t>
        </is>
      </c>
      <c r="O162" s="4" t="inlineStr">
        <is>
          <t>CWO-04</t>
        </is>
      </c>
      <c r="P162" s="4" t="inlineStr">
        <is>
          <t>47</t>
        </is>
      </c>
      <c r="Q162" s="4" t="inlineStr">
        <is>
          <t>complete by mid-2027, and to cost approximately 
$1 billion.</t>
        </is>
      </c>
      <c r="R162" s="4" t="inlineStr"/>
      <c r="S162" s="4" t="inlineStr">
        <is>
          <t>Source wording is 'approximately $1 billion'; the page 46 figure panel gives '$1 billion' for Deliver Now Stage 1 alongside $1.8 billion for a later Stage 2.</t>
        </is>
      </c>
    </row>
    <row r="163">
      <c r="A163" s="4" t="inlineStr">
        <is>
          <t>Hunter Transmission Project</t>
        </is>
      </c>
      <c r="B163" s="4" t="inlineStr">
        <is>
          <t>HTP-PROJECT-HTP</t>
        </is>
      </c>
      <c r="C163" s="4" t="inlineStr">
        <is>
          <t>HTP-AO-2023-NIS-COST-BASIS</t>
        </is>
      </c>
      <c r="D163" s="4" t="inlineStr">
        <is>
          <t>other</t>
        </is>
      </c>
      <c r="E163" s="4" t="inlineStr">
        <is>
          <t>2023-05</t>
        </is>
      </c>
      <c r="F163" s="4" t="inlineStr">
        <is>
          <t>NSW Network Infrastructure Strategy cost-estimate basis and exclusions</t>
        </is>
      </c>
      <c r="G163" s="4" t="n"/>
      <c r="H163" s="4" t="n"/>
      <c r="I163" s="4" t="inlineStr">
        <is>
          <t>Real 2021 Australian dollars</t>
        </is>
      </c>
      <c r="J163" s="4" t="inlineStr">
        <is>
          <t>Class 5b</t>
        </is>
      </c>
      <c r="K163" s="4" t="inlineStr">
        <is>
          <t>±50%</t>
        </is>
      </c>
      <c r="L163" s="4" t="inlineStr">
        <is>
          <t>stated estimate basis</t>
        </is>
      </c>
      <c r="M163" s="4" t="inlineStr">
        <is>
          <t>Applies to the EnergyCo strategy's project cost estimates including HTP Stage 1</t>
        </is>
      </c>
      <c r="N163" s="4" t="inlineStr">
        <is>
          <t>This footnote is the reason the $1 billion figure is not comparable with ISP reported costs or with any outturn.</t>
        </is>
      </c>
      <c r="O163" s="4" t="inlineStr">
        <is>
          <t>CWO-04</t>
        </is>
      </c>
      <c r="P163" s="4" t="inlineStr">
        <is>
          <t>46</t>
        </is>
      </c>
      <c r="Q163" s="4" t="inlineStr">
        <is>
          <t>Estimates are Class 5b accuracy (i.e. +/- 50%) and for development and construction costs only (excluding ﬁnance, generator 
connection and system strength costs).</t>
        </is>
      </c>
      <c r="R163" s="4" t="inlineStr"/>
      <c r="S163" s="4" t="inlineStr">
        <is>
          <t>The same footnote states the total cost for a REZ typically adds 70% to 110% of development and construction costs for those excluded items.</t>
        </is>
      </c>
    </row>
    <row r="164">
      <c r="A164" s="4" t="inlineStr">
        <is>
          <t>Hunter Transmission Project</t>
        </is>
      </c>
      <c r="B164" s="4" t="inlineStr">
        <is>
          <t>HTP-PROJECT-HTP</t>
        </is>
      </c>
      <c r="C164" s="4" t="inlineStr">
        <is>
          <t>HTP-AO-2026-CAPACITY-FORWARD</t>
        </is>
      </c>
      <c r="D164" s="4" t="inlineStr">
        <is>
          <t>capacity</t>
        </is>
      </c>
      <c r="E164" s="4" t="inlineStr">
        <is>
          <t>2026-06</t>
        </is>
      </c>
      <c r="F164" s="4" t="inlineStr">
        <is>
          <t>AEMO 2026 forward additional network capacity</t>
        </is>
      </c>
      <c r="G164" s="4" t="n">
        <v>5000</v>
      </c>
      <c r="H164" s="4" t="inlineStr">
        <is>
          <t>MW</t>
        </is>
      </c>
      <c r="I164" s="4" t="n"/>
      <c r="J164" s="4" t="n"/>
      <c r="K164" s="4" t="inlineStr">
        <is>
          <t>Not stated</t>
        </is>
      </c>
      <c r="L164" s="4" t="inlineStr">
        <is>
          <t>additional network capacity / ISP option table</t>
        </is>
      </c>
      <c r="M164" s="4" t="inlineStr">
        <is>
          <t>Forward additional network capacity for CNSW-SNW Option 1, described as accommodating additional new generation from north of Bayswater and 2/3 generation from Central West NSW; reverse N/A</t>
        </is>
      </c>
      <c r="N164" s="4" t="inlineStr">
        <is>
          <t>A network hosting/transfer uplift across a flow path, not a thermal rating of the new line; not comparable with a per-line transfer capacity.</t>
        </is>
      </c>
      <c r="O164" s="4" t="inlineStr">
        <is>
          <t>HUM-AEMO-2026-ISP-A5</t>
        </is>
      </c>
      <c r="P164" s="4" t="inlineStr">
        <is>
          <t>39</t>
        </is>
      </c>
      <c r="Q164" s="4" t="inlineStr">
        <is>
          <t xml:space="preserve">Forward: 5,000 
(This capacity increase for 
accommodation of 
additional new generation 
from North of Bayswater and 
2/3 generation from Central 
West New South Wales) </t>
        </is>
      </c>
      <c r="R164" s="4" t="inlineStr">
        <is>
          <t>selected</t>
        </is>
      </c>
      <c r="S164" s="4" t="inlineStr"/>
    </row>
    <row r="165">
      <c r="A165" s="4" t="inlineStr">
        <is>
          <t>Hunter Transmission Project</t>
        </is>
      </c>
      <c r="B165" s="4" t="inlineStr">
        <is>
          <t>HTP-PROJECT-HTP</t>
        </is>
      </c>
      <c r="C165" s="4" t="inlineStr">
        <is>
          <t>HTP-AO-2026-CAPACITY-REZ-N10</t>
        </is>
      </c>
      <c r="D165" s="4" t="inlineStr">
        <is>
          <t>capacity</t>
        </is>
      </c>
      <c r="E165" s="4" t="inlineStr">
        <is>
          <t>2026-06</t>
        </is>
      </c>
      <c r="F165" s="4" t="inlineStr">
        <is>
          <t>AEMO 2026 REZ N10 capacity component</t>
        </is>
      </c>
      <c r="G165" s="4" t="n">
        <v>2000</v>
      </c>
      <c r="H165" s="4" t="inlineStr">
        <is>
          <t>MW</t>
        </is>
      </c>
      <c r="I165" s="4" t="n"/>
      <c r="J165" s="4" t="n"/>
      <c r="K165" s="4" t="inlineStr">
        <is>
          <t>Not stated</t>
        </is>
      </c>
      <c r="L165" s="4" t="inlineStr">
        <is>
          <t>additional network capacity / REZ component</t>
        </is>
      </c>
      <c r="M165" s="4" t="inlineStr">
        <is>
          <t>REZ N10 component of the CNSW-SNW Option 1 capacity entry</t>
        </is>
      </c>
      <c r="N165" s="4" t="inlineStr">
        <is>
          <t>A named sub-entry inside the same table cell as the 5,000 MW forward figure; do not add the two.</t>
        </is>
      </c>
      <c r="O165" s="4" t="inlineStr">
        <is>
          <t>HUM-AEMO-2026-ISP-A5</t>
        </is>
      </c>
      <c r="P165" s="4" t="inlineStr">
        <is>
          <t>39</t>
        </is>
      </c>
      <c r="Q165" s="4" t="inlineStr">
        <is>
          <t xml:space="preserve">REZ: N10: 2,000 </t>
        </is>
      </c>
      <c r="R165" s="4" t="inlineStr"/>
      <c r="S165" s="4" t="inlineStr"/>
    </row>
    <row r="166">
      <c r="A166" s="4" t="inlineStr">
        <is>
          <t>Hunter Transmission Project</t>
        </is>
      </c>
      <c r="B166" s="4" t="inlineStr">
        <is>
          <t>HTP-PROJECT-HTP</t>
        </is>
      </c>
      <c r="C166" s="4" t="inlineStr">
        <is>
          <t>HTP-AO-2026-TRANSFER-UPLIFT</t>
        </is>
      </c>
      <c r="D166" s="4" t="inlineStr">
        <is>
          <t>capacity</t>
        </is>
      </c>
      <c r="E166" s="4" t="inlineStr">
        <is>
          <t>2026-06</t>
        </is>
      </c>
      <c r="F166" s="4" t="inlineStr">
        <is>
          <t>AEMO 2026 narrative transfer-capacity uplift</t>
        </is>
      </c>
      <c r="G166" s="4" t="n">
        <v>5000</v>
      </c>
      <c r="H166" s="4" t="inlineStr">
        <is>
          <t>MW</t>
        </is>
      </c>
      <c r="I166" s="4" t="n"/>
      <c r="J166" s="4" t="n"/>
      <c r="K166" s="4" t="inlineStr">
        <is>
          <t>Stated as 'up to'</t>
        </is>
      </c>
      <c r="L166" s="4" t="inlineStr">
        <is>
          <t>narrative transfer capacity statement</t>
        </is>
      </c>
      <c r="M166" s="4" t="inlineStr">
        <is>
          <t>Transfer capacity into the SNW load centres from Central-West Orana, New England and Hunter-Central Coast REZs</t>
        </is>
      </c>
      <c r="N166" s="4" t="inlineStr">
        <is>
          <t>Narrative restatement of the table figure; same boundary caveat.</t>
        </is>
      </c>
      <c r="O166" s="4" t="inlineStr">
        <is>
          <t>HUM-AEMO-2026-ISP-A5</t>
        </is>
      </c>
      <c r="P166" s="4" t="inlineStr">
        <is>
          <t>38</t>
        </is>
      </c>
      <c r="Q166" s="4" t="inlineStr">
        <is>
          <t>This option increases the transfer capacity by up to 5,000 MW, and</t>
        </is>
      </c>
      <c r="R166" s="4" t="inlineStr"/>
      <c r="S166" s="4" t="inlineStr"/>
    </row>
    <row r="167">
      <c r="A167" s="4" t="inlineStr">
        <is>
          <t>Hunter Transmission Project</t>
        </is>
      </c>
      <c r="B167" s="4" t="inlineStr">
        <is>
          <t>HTP-PROJECT-HTP</t>
        </is>
      </c>
      <c r="C167" s="4" t="inlineStr">
        <is>
          <t>HTP-AO-2024-CAPACITY</t>
        </is>
      </c>
      <c r="D167" s="4" t="inlineStr">
        <is>
          <t>capacity</t>
        </is>
      </c>
      <c r="E167" s="4" t="inlineStr">
        <is>
          <t>2024-06</t>
        </is>
      </c>
      <c r="F167" s="4" t="inlineStr">
        <is>
          <t>AEMO 2024 additional network capacity</t>
        </is>
      </c>
      <c r="G167" s="4" t="n">
        <v>5000</v>
      </c>
      <c r="H167" s="4" t="inlineStr">
        <is>
          <t>MW</t>
        </is>
      </c>
      <c r="I167" s="4" t="n"/>
      <c r="J167" s="4" t="n"/>
      <c r="K167" s="4" t="inlineStr">
        <is>
          <t>Not stated</t>
        </is>
      </c>
      <c r="L167" s="4" t="inlineStr">
        <is>
          <t>additional network capacity / ISP option table</t>
        </is>
      </c>
      <c r="M167" s="4" t="inlineStr">
        <is>
          <t>Option 1 Sydney Ring Northern 500 kV loop; accommodation of additional new generation from north of Bayswater and 2/3 generation from Central West NSW</t>
        </is>
      </c>
      <c r="N167" s="4" t="inlineStr">
        <is>
          <t>Same wording as 2026 without the REZ N10 sub-entry or the forward/reverse split.</t>
        </is>
      </c>
      <c r="O167" s="4" t="inlineStr">
        <is>
          <t>HUM-AEMO-2024-ISP-A5</t>
        </is>
      </c>
      <c r="P167" s="4" t="inlineStr">
        <is>
          <t>24</t>
        </is>
      </c>
      <c r="Q167" s="4" t="inlineStr">
        <is>
          <t xml:space="preserve">5,000 
(This capacity increase is for 
accommodation of additional new 
generation from North of Bayswater and 
2/3 generation from Central West NSW) </t>
        </is>
      </c>
      <c r="R167" s="4" t="inlineStr"/>
      <c r="S167" s="4" t="inlineStr"/>
    </row>
    <row r="168">
      <c r="A168" s="4" t="inlineStr">
        <is>
          <t>Hunter Transmission Project</t>
        </is>
      </c>
      <c r="B168" s="4" t="inlineStr">
        <is>
          <t>HTP-PROJECT-HTP</t>
        </is>
      </c>
      <c r="C168" s="4" t="inlineStr">
        <is>
          <t>HTP-AO-2023-NIS-STAGE1-CAPACITY</t>
        </is>
      </c>
      <c r="D168" s="4" t="inlineStr">
        <is>
          <t>capacity</t>
        </is>
      </c>
      <c r="E168" s="4" t="inlineStr">
        <is>
          <t>2023-05</t>
        </is>
      </c>
      <c r="F168" s="4" t="inlineStr">
        <is>
          <t>NSW Network Infrastructure Strategy HTP Stage 1 downstream capacity</t>
        </is>
      </c>
      <c r="G168" s="4" t="n">
        <v>5000</v>
      </c>
      <c r="H168" s="4" t="inlineStr">
        <is>
          <t>MW</t>
        </is>
      </c>
      <c r="I168" s="4" t="n"/>
      <c r="J168" s="4" t="n"/>
      <c r="K168" s="4" t="inlineStr">
        <is>
          <t>Not stated</t>
        </is>
      </c>
      <c r="L168" s="4" t="inlineStr">
        <is>
          <t>planned additional transmission capacity</t>
        </is>
      </c>
      <c r="M168" s="4" t="inlineStr">
        <is>
          <t>HTP Stage 1 additional transmission capacity in the downstream network</t>
        </is>
      </c>
      <c r="N168" s="4" t="inlineStr">
        <is>
          <t>EnergyCo Stage 1 boundary; consistent in magnitude with AEMO's 5,000 MW but on a different scope definition.</t>
        </is>
      </c>
      <c r="O168" s="4" t="inlineStr">
        <is>
          <t>CWO-04</t>
        </is>
      </c>
      <c r="P168" s="4" t="inlineStr">
        <is>
          <t>47</t>
        </is>
      </c>
      <c r="Q168" s="4" t="inlineStr">
        <is>
          <t>5 GW of additional transmission capacity in 
the downstream network.</t>
        </is>
      </c>
      <c r="R168" s="4" t="inlineStr"/>
      <c r="S168" s="4" t="inlineStr"/>
    </row>
    <row r="169">
      <c r="A169" s="4" t="inlineStr">
        <is>
          <t>Hunter Transmission Project</t>
        </is>
      </c>
      <c r="B169" s="4" t="inlineStr">
        <is>
          <t>HTP-PROJECT-HTP</t>
        </is>
      </c>
      <c r="C169" s="4" t="inlineStr">
        <is>
          <t>HTP-AO-2023-NIS-REZ-HEADROOM</t>
        </is>
      </c>
      <c r="D169" s="4" t="inlineStr">
        <is>
          <t>capacity</t>
        </is>
      </c>
      <c r="E169" s="4" t="inlineStr">
        <is>
          <t>2023-05</t>
        </is>
      </c>
      <c r="F169" s="4" t="inlineStr">
        <is>
          <t>NSW Network Infrastructure Strategy combined REZ output supportable with HTP Stage 1</t>
        </is>
      </c>
      <c r="G169" s="4" t="n">
        <v>8000</v>
      </c>
      <c r="H169" s="4" t="inlineStr">
        <is>
          <t>MW</t>
        </is>
      </c>
      <c r="I169" s="4" t="n"/>
      <c r="J169" s="4" t="n"/>
      <c r="K169" s="4" t="inlineStr">
        <is>
          <t>Stated as 'as much as'</t>
        </is>
      </c>
      <c r="L169" s="4" t="inlineStr">
        <is>
          <t>network capability context</t>
        </is>
      </c>
      <c r="M169" s="4" t="inlineStr">
        <is>
          <t>Combined generation output from the Central-West Orana, New England and Hunter-Central Coast REZs supportable by the downstream network with HTP Stage 1 in place</t>
        </is>
      </c>
      <c r="N169" s="4" t="inlineStr">
        <is>
          <t>A downstream-network headroom statement, not a line rating; it is the basis for treating the chart's 5 GW as a system-level figure that exceeds the transfer capacity of the single line.</t>
        </is>
      </c>
      <c r="O169" s="4" t="inlineStr">
        <is>
          <t>CWO-04</t>
        </is>
      </c>
      <c r="P169" s="4" t="inlineStr">
        <is>
          <t>46</t>
        </is>
      </c>
      <c r="Q169" s="4" t="inlineStr">
        <is>
          <t>With HTP Stage 1 in place, this could 
be increased to as much as 8 GW of generation 
capacity</t>
        </is>
      </c>
      <c r="R169" s="4" t="inlineStr"/>
      <c r="S169" s="4" t="inlineStr">
        <is>
          <t>The same passage states that without HTP Stage 1 the network would only support 3 GW of combined output from the three REZs.</t>
        </is>
      </c>
    </row>
    <row r="170">
      <c r="A170" s="4" t="inlineStr">
        <is>
          <t>Hunter Transmission Project</t>
        </is>
      </c>
      <c r="B170" s="4" t="inlineStr">
        <is>
          <t>HTP-PROJECT-HTP</t>
        </is>
      </c>
      <c r="C170" s="4" t="inlineStr">
        <is>
          <t>HTP-AO-2026-CIRCUITS</t>
        </is>
      </c>
      <c r="D170" s="4" t="inlineStr">
        <is>
          <t>circuits</t>
        </is>
      </c>
      <c r="E170" s="4" t="inlineStr">
        <is>
          <t>2026-06</t>
        </is>
      </c>
      <c r="F170" s="4" t="inlineStr">
        <is>
          <t>AEMO 2026 trunk line circuits</t>
        </is>
      </c>
      <c r="G170" s="4" t="n">
        <v>2</v>
      </c>
      <c r="H170" s="4" t="inlineStr">
        <is>
          <t>count</t>
        </is>
      </c>
      <c r="I170" s="4" t="n"/>
      <c r="J170" s="4" t="n"/>
      <c r="K170" s="4" t="n"/>
      <c r="L170" s="4" t="inlineStr">
        <is>
          <t>scope description</t>
        </is>
      </c>
      <c r="M170" s="4" t="inlineStr">
        <is>
          <t>New 500 kV line between Olney and Bayswater South substations</t>
        </is>
      </c>
      <c r="N170" s="4" t="inlineStr">
        <is>
          <t>Same scope item as the 2024 description with renamed substations.</t>
        </is>
      </c>
      <c r="O170" s="4" t="inlineStr">
        <is>
          <t>HUM-AEMO-2026-ISP-A5</t>
        </is>
      </c>
      <c r="P170" s="4" t="inlineStr">
        <is>
          <t>39</t>
        </is>
      </c>
      <c r="Q170" s="4" t="inlineStr">
        <is>
          <t>• A new 500 kV double-circuit line between Olney substation and Bayswater</t>
        </is>
      </c>
      <c r="R170" s="4" t="inlineStr">
        <is>
          <t>selected</t>
        </is>
      </c>
      <c r="S170" s="4" t="inlineStr">
        <is>
          <t>AEMO states a double-circuit line; the count of two circuits follows from that wording. The sentence continues 'South substation.' on the next line of the derivative.</t>
        </is>
      </c>
    </row>
    <row r="171">
      <c r="A171" s="4" t="inlineStr">
        <is>
          <t>Hunter Transmission Project</t>
        </is>
      </c>
      <c r="B171" s="4" t="inlineStr">
        <is>
          <t>HTP-PROJECT-HTP</t>
        </is>
      </c>
      <c r="C171" s="4" t="inlineStr">
        <is>
          <t>HTP-AO-2026-LINES</t>
        </is>
      </c>
      <c r="D171" s="4" t="inlineStr">
        <is>
          <t>lines</t>
        </is>
      </c>
      <c r="E171" s="4" t="inlineStr">
        <is>
          <t>2026-06</t>
        </is>
      </c>
      <c r="F171" s="4" t="inlineStr">
        <is>
          <t>AEMO 2026 trunk lines</t>
        </is>
      </c>
      <c r="G171" s="4" t="n">
        <v>1</v>
      </c>
      <c r="H171" s="4" t="inlineStr">
        <is>
          <t>count</t>
        </is>
      </c>
      <c r="I171" s="4" t="n"/>
      <c r="J171" s="4" t="n"/>
      <c r="K171" s="4" t="n"/>
      <c r="L171" s="4" t="inlineStr">
        <is>
          <t>scope description</t>
        </is>
      </c>
      <c r="M171" s="4" t="inlineStr">
        <is>
          <t>New 500 kV line between Olney and Bayswater South substations</t>
        </is>
      </c>
      <c r="N171" s="4" t="inlineStr">
        <is>
          <t>One line carrying two circuits; do not read the two circuits as two lines.</t>
        </is>
      </c>
      <c r="O171" s="4" t="inlineStr">
        <is>
          <t>HUM-AEMO-2026-ISP-A5</t>
        </is>
      </c>
      <c r="P171" s="4" t="inlineStr">
        <is>
          <t>39</t>
        </is>
      </c>
      <c r="Q171" s="4" t="inlineStr">
        <is>
          <t>• A new 500 kV double-circuit line between Olney substation and Bayswater</t>
        </is>
      </c>
      <c r="R171" s="4" t="inlineStr">
        <is>
          <t>selected</t>
        </is>
      </c>
      <c r="S171" s="4" t="inlineStr"/>
    </row>
    <row r="172">
      <c r="A172" s="4" t="inlineStr">
        <is>
          <t>Hunter Transmission Project</t>
        </is>
      </c>
      <c r="B172" s="4" t="inlineStr">
        <is>
          <t>HTP-PROJECT-HTP</t>
        </is>
      </c>
      <c r="C172" s="4" t="inlineStr">
        <is>
          <t>HTP-AO-2024-CIRCUITS-LINES</t>
        </is>
      </c>
      <c r="D172" s="4" t="inlineStr">
        <is>
          <t>circuits</t>
        </is>
      </c>
      <c r="E172" s="4" t="inlineStr">
        <is>
          <t>2024-06</t>
        </is>
      </c>
      <c r="F172" s="4" t="inlineStr">
        <is>
          <t>AEMO 2024 trunk line circuits</t>
        </is>
      </c>
      <c r="G172" s="4" t="n">
        <v>2</v>
      </c>
      <c r="H172" s="4" t="inlineStr">
        <is>
          <t>count</t>
        </is>
      </c>
      <c r="I172" s="4" t="n"/>
      <c r="J172" s="4" t="n"/>
      <c r="K172" s="4" t="n"/>
      <c r="L172" s="4" t="inlineStr">
        <is>
          <t>scope description</t>
        </is>
      </c>
      <c r="M172" s="4" t="inlineStr">
        <is>
          <t>New 500 kV line between near Eraring substation and near Bayswater substation</t>
        </is>
      </c>
      <c r="N172" s="4" t="inlineStr">
        <is>
          <t>Predecessor wording for the same single double-circuit line.</t>
        </is>
      </c>
      <c r="O172" s="4" t="inlineStr">
        <is>
          <t>HUM-AEMO-2024-ISP-A5</t>
        </is>
      </c>
      <c r="P172" s="4" t="inlineStr">
        <is>
          <t>24</t>
        </is>
      </c>
      <c r="Q172" s="4" t="inlineStr">
        <is>
          <t xml:space="preserve">• A new 500 kV double-circuit line between near Eraring substation and near </t>
        </is>
      </c>
      <c r="R172" s="4" t="inlineStr"/>
      <c r="S172" s="4" t="inlineStr">
        <is>
          <t>Substations were later named Olney and Bayswater South.</t>
        </is>
      </c>
    </row>
    <row r="173">
      <c r="A173" s="4" t="inlineStr">
        <is>
          <t>Hunter Transmission Project</t>
        </is>
      </c>
      <c r="B173" s="4" t="inlineStr">
        <is>
          <t>HTP-PROJECT-HTP</t>
        </is>
      </c>
      <c r="C173" s="4" t="inlineStr">
        <is>
          <t>HTP-AO-2026-TRANSFORMERS</t>
        </is>
      </c>
      <c r="D173" s="4" t="inlineStr">
        <is>
          <t>transformers_mva</t>
        </is>
      </c>
      <c r="E173" s="4" t="inlineStr">
        <is>
          <t>2026-06</t>
        </is>
      </c>
      <c r="F173" s="4" t="inlineStr">
        <is>
          <t>AEMO 2026 Eraring transformers</t>
        </is>
      </c>
      <c r="G173" s="4" t="n">
        <v>1500</v>
      </c>
      <c r="H173" s="4" t="inlineStr">
        <is>
          <t>MVA</t>
        </is>
      </c>
      <c r="I173" s="4" t="n"/>
      <c r="J173" s="4" t="n"/>
      <c r="K173" s="4" t="n"/>
      <c r="L173" s="4" t="inlineStr">
        <is>
          <t>scope description</t>
        </is>
      </c>
      <c r="M173" s="4" t="inlineStr">
        <is>
          <t>Unit rating of each of two 500/330 kV transformers at Eraring substation</t>
        </is>
      </c>
      <c r="N173" s="4" t="inlineStr">
        <is>
          <t>The source states a unit rating and a count of two; it does not state a combined 3,000 MVA figure.</t>
        </is>
      </c>
      <c r="O173" s="4" t="inlineStr">
        <is>
          <t>HUM-AEMO-2026-ISP-A5</t>
        </is>
      </c>
      <c r="P173" s="4" t="inlineStr">
        <is>
          <t>39</t>
        </is>
      </c>
      <c r="Q173" s="4" t="inlineStr">
        <is>
          <t xml:space="preserve">• Two 500/330 kV 1,500 MVA transformers at Eraring substation. </t>
        </is>
      </c>
      <c r="R173" s="4" t="inlineStr">
        <is>
          <t>selected</t>
        </is>
      </c>
      <c r="S173" s="4" t="inlineStr">
        <is>
          <t>The chart's 3000 corresponds to the two stated 1,500 MVA units.</t>
        </is>
      </c>
    </row>
    <row r="174">
      <c r="A174" s="4" t="inlineStr">
        <is>
          <t>Hunter Transmission Project</t>
        </is>
      </c>
      <c r="B174" s="4" t="inlineStr">
        <is>
          <t>HTP-PROJECT-HTP</t>
        </is>
      </c>
      <c r="C174" s="4" t="inlineStr">
        <is>
          <t>HTP-AO-2024-TRANSFORMERS</t>
        </is>
      </c>
      <c r="D174" s="4" t="inlineStr">
        <is>
          <t>transformers_mva</t>
        </is>
      </c>
      <c r="E174" s="4" t="inlineStr">
        <is>
          <t>2024-06</t>
        </is>
      </c>
      <c r="F174" s="4" t="inlineStr">
        <is>
          <t>AEMO 2024 Eraring transformers</t>
        </is>
      </c>
      <c r="G174" s="4" t="n">
        <v>1500</v>
      </c>
      <c r="H174" s="4" t="inlineStr">
        <is>
          <t>MVA</t>
        </is>
      </c>
      <c r="I174" s="4" t="n"/>
      <c r="J174" s="4" t="n"/>
      <c r="K174" s="4" t="n"/>
      <c r="L174" s="4" t="inlineStr">
        <is>
          <t>scope description</t>
        </is>
      </c>
      <c r="M174" s="4" t="inlineStr">
        <is>
          <t>Unit rating of each of two 500/330 kV transformers at Eraring substation</t>
        </is>
      </c>
      <c r="N174" s="4" t="inlineStr">
        <is>
          <t>Unchanged between the 2024 and 2026 ISP descriptions.</t>
        </is>
      </c>
      <c r="O174" s="4" t="inlineStr">
        <is>
          <t>HUM-AEMO-2024-ISP-A5</t>
        </is>
      </c>
      <c r="P174" s="4" t="inlineStr">
        <is>
          <t>24</t>
        </is>
      </c>
      <c r="Q174" s="4" t="inlineStr">
        <is>
          <t xml:space="preserve">• Two 500/330 kV 1,500 MVA transformers at Eraring substation.  </t>
        </is>
      </c>
      <c r="R174" s="4" t="inlineStr"/>
      <c r="S174" s="4" t="inlineStr"/>
    </row>
    <row r="175">
      <c r="A175" s="4" t="inlineStr">
        <is>
          <t>Hunter Transmission Project</t>
        </is>
      </c>
      <c r="B175" s="4" t="inlineStr">
        <is>
          <t>HTP-PROJECT-HTP</t>
        </is>
      </c>
      <c r="C175" s="4" t="inlineStr">
        <is>
          <t>HTP-AO-2026-VOLTAGE</t>
        </is>
      </c>
      <c r="D175" s="4" t="inlineStr">
        <is>
          <t>voltage</t>
        </is>
      </c>
      <c r="E175" s="4" t="inlineStr">
        <is>
          <t>2026-06</t>
        </is>
      </c>
      <c r="F175" s="4" t="inlineStr">
        <is>
          <t>AEMO 2026 trunk voltage</t>
        </is>
      </c>
      <c r="G175" s="4" t="n">
        <v>500</v>
      </c>
      <c r="H175" s="4" t="inlineStr">
        <is>
          <t>kV</t>
        </is>
      </c>
      <c r="I175" s="4" t="n"/>
      <c r="J175" s="4" t="n"/>
      <c r="K175" s="4" t="n"/>
      <c r="L175" s="4" t="inlineStr">
        <is>
          <t>scope description</t>
        </is>
      </c>
      <c r="M175" s="4" t="inlineStr">
        <is>
          <t>New trunk line and associated connections</t>
        </is>
      </c>
      <c r="N175" s="4" t="inlineStr">
        <is>
          <t>Consistent with the 2024 description and the EnergyCo strategy's 500 kV double circuit wording.</t>
        </is>
      </c>
      <c r="O175" s="4" t="inlineStr">
        <is>
          <t>HUM-AEMO-2026-ISP-A5</t>
        </is>
      </c>
      <c r="P175" s="4" t="inlineStr">
        <is>
          <t>39</t>
        </is>
      </c>
      <c r="Q175" s="4" t="inlineStr">
        <is>
          <t>Sydney Ring Northern 500 kV loop or the Hunter Transmission Project (HTP)</t>
        </is>
      </c>
      <c r="R175" s="4" t="inlineStr"/>
      <c r="S175" s="4" t="inlineStr"/>
    </row>
    <row r="176">
      <c r="A176" s="4" t="inlineStr">
        <is>
          <t>Hunter Transmission Project</t>
        </is>
      </c>
      <c r="B176" s="4" t="inlineStr">
        <is>
          <t>HTP-PROJECT-HTP</t>
        </is>
      </c>
      <c r="C176" s="4" t="inlineStr">
        <is>
          <t>HTP-AO-2026-COMPLETION</t>
        </is>
      </c>
      <c r="D176" s="4" t="inlineStr">
        <is>
          <t>completion</t>
        </is>
      </c>
      <c r="E176" s="4" t="inlineStr">
        <is>
          <t>2026-06</t>
        </is>
      </c>
      <c r="F176" s="4" t="inlineStr">
        <is>
          <t>AEMO 2026 proponent-advised timing</t>
        </is>
      </c>
      <c r="G176" s="4" t="inlineStr">
        <is>
          <t>2029-11</t>
        </is>
      </c>
      <c r="H176" s="4" t="inlineStr">
        <is>
          <t>date</t>
        </is>
      </c>
      <c r="I176" s="4" t="n"/>
      <c r="J176" s="4" t="n"/>
      <c r="K176" s="4" t="inlineStr">
        <is>
          <t>Proponent advice, not a commissioning record</t>
        </is>
      </c>
      <c r="L176" s="4" t="inlineStr">
        <is>
          <t>timing advised by proponent</t>
        </is>
      </c>
      <c r="M176" s="4" t="inlineStr">
        <is>
          <t>Completion of CNSW-SNW Option 1</t>
        </is>
      </c>
      <c r="N176" s="4" t="inlineStr">
        <is>
          <t>Replaces the December 2028 timing reported in 2024; neither is an outturn.</t>
        </is>
      </c>
      <c r="O176" s="4" t="inlineStr">
        <is>
          <t>HUM-AEMO-2026-ISP-A5</t>
        </is>
      </c>
      <c r="P176" s="4" t="inlineStr">
        <is>
          <t>39</t>
        </is>
      </c>
      <c r="Q176" s="4" t="inlineStr">
        <is>
          <t xml:space="preserve">Timing advised by proponent:  
November 2029 </t>
        </is>
      </c>
      <c r="R176" s="4" t="inlineStr">
        <is>
          <t>selected</t>
        </is>
      </c>
      <c r="S176" s="4" t="inlineStr">
        <is>
          <t>AEMO p38 states 'It is scheduled to be completed by November 2029.'</t>
        </is>
      </c>
    </row>
    <row r="177">
      <c r="A177" s="4" t="inlineStr">
        <is>
          <t>Hunter Transmission Project</t>
        </is>
      </c>
      <c r="B177" s="4" t="inlineStr">
        <is>
          <t>HTP-PROJECT-HTP</t>
        </is>
      </c>
      <c r="C177" s="4" t="inlineStr">
        <is>
          <t>HTP-AO-2024-COMPLETION</t>
        </is>
      </c>
      <c r="D177" s="4" t="inlineStr">
        <is>
          <t>completion</t>
        </is>
      </c>
      <c r="E177" s="4" t="inlineStr">
        <is>
          <t>2024-06</t>
        </is>
      </c>
      <c r="F177" s="4" t="inlineStr">
        <is>
          <t>AEMO 2024 proponent-advised timing</t>
        </is>
      </c>
      <c r="G177" s="4" t="inlineStr">
        <is>
          <t>2028-12</t>
        </is>
      </c>
      <c r="H177" s="4" t="inlineStr">
        <is>
          <t>date</t>
        </is>
      </c>
      <c r="I177" s="4" t="n"/>
      <c r="J177" s="4" t="n"/>
      <c r="K177" s="4" t="inlineStr">
        <is>
          <t>Proponent advice; ISP optimal timings differ by scenario</t>
        </is>
      </c>
      <c r="L177" s="4" t="inlineStr">
        <is>
          <t>timing advised by proponent</t>
        </is>
      </c>
      <c r="M177" s="4" t="inlineStr">
        <is>
          <t>Completion of Option 1 Sydney Ring Northern 500 kV loop</t>
        </is>
      </c>
      <c r="N177" s="4" t="inlineStr">
        <is>
          <t>Superseded as a dated observation by the November 2029 advice; the shift is not explained by any archived source.</t>
        </is>
      </c>
      <c r="O177" s="4" t="inlineStr">
        <is>
          <t>HUM-AEMO-2024-ISP-A5</t>
        </is>
      </c>
      <c r="P177" s="4" t="inlineStr">
        <is>
          <t>24</t>
        </is>
      </c>
      <c r="Q177" s="4" t="inlineStr">
        <is>
          <t xml:space="preserve">Timing advised by proponent: 
December 2028 </t>
        </is>
      </c>
      <c r="R177" s="4" t="inlineStr"/>
      <c r="S177" s="4" t="inlineStr">
        <is>
          <t>The same cell lists ISP optimal timing of Progressive Change 2030-31, Step Change 2028-29, Green Energy Export 2028-29.</t>
        </is>
      </c>
    </row>
    <row r="178">
      <c r="A178" s="4" t="inlineStr">
        <is>
          <t>Hunter Transmission Project</t>
        </is>
      </c>
      <c r="B178" s="4" t="inlineStr">
        <is>
          <t>HTP-PROJECT-HTP</t>
        </is>
      </c>
      <c r="C178" s="4" t="inlineStr">
        <is>
          <t>HTP-AO-2026-STATUS</t>
        </is>
      </c>
      <c r="D178" s="4" t="inlineStr">
        <is>
          <t>other</t>
        </is>
      </c>
      <c r="E178" s="4" t="inlineStr">
        <is>
          <t>2026-06</t>
        </is>
      </c>
      <c r="F178" s="4" t="inlineStr">
        <is>
          <t>AEMO 2026 status and construction expectation</t>
        </is>
      </c>
      <c r="G178" s="4" t="n"/>
      <c r="H178" s="4" t="n"/>
      <c r="I178" s="4" t="n"/>
      <c r="J178" s="4" t="n"/>
      <c r="K178" s="4" t="inlineStr">
        <is>
          <t>Conditional on approval</t>
        </is>
      </c>
      <c r="L178" s="4" t="inlineStr">
        <is>
          <t>status statement</t>
        </is>
      </c>
      <c r="M178" s="4" t="inlineStr">
        <is>
          <t>NSW Government independent assessment phase for HTP</t>
        </is>
      </c>
      <c r="N178" s="4" t="inlineStr">
        <is>
          <t>A reported status, not evidence that approval occurred or that construction started.</t>
        </is>
      </c>
      <c r="O178" s="4" t="inlineStr">
        <is>
          <t>HUM-AEMO-2026-ISP-A5</t>
        </is>
      </c>
      <c r="P178" s="4" t="inlineStr">
        <is>
          <t>39</t>
        </is>
      </c>
      <c r="Q178" s="4" t="inlineStr">
        <is>
          <t>The project is now in the New South Wales Government’s independent assessment phase. If the Hunter Transmission project is approved, construction is expected to start in late 2026.</t>
        </is>
      </c>
      <c r="R178" s="4" t="inlineStr"/>
      <c r="S178" s="4" t="inlineStr"/>
    </row>
    <row r="179">
      <c r="A179" s="4" t="inlineStr">
        <is>
          <t>Hunter Transmission Project</t>
        </is>
      </c>
      <c r="B179" s="4" t="inlineStr">
        <is>
          <t>HTP-PROJECT-HTP</t>
        </is>
      </c>
      <c r="C179" s="4" t="inlineStr">
        <is>
          <t>HTP-AO-2026-PREREQ-NONE</t>
        </is>
      </c>
      <c r="D179" s="4" t="inlineStr">
        <is>
          <t>other</t>
        </is>
      </c>
      <c r="E179" s="4" t="inlineStr">
        <is>
          <t>2026-06</t>
        </is>
      </c>
      <c r="F179" s="4" t="inlineStr">
        <is>
          <t>AEMO 2026 prerequisite for HTP</t>
        </is>
      </c>
      <c r="G179" s="4" t="n"/>
      <c r="H179" s="4" t="n"/>
      <c r="I179" s="4" t="n"/>
      <c r="J179" s="4" t="n"/>
      <c r="K179" s="4" t="n"/>
      <c r="L179" s="4" t="inlineStr">
        <is>
          <t>prerequisite statement</t>
        </is>
      </c>
      <c r="M179" s="4" t="inlineStr">
        <is>
          <t>CNSW-SNW Option 1</t>
        </is>
      </c>
      <c r="N179" s="4" t="inlineStr">
        <is>
          <t>HTP itself has no stated prerequisite while being a prerequisite for other projects.</t>
        </is>
      </c>
      <c r="O179" s="4" t="inlineStr">
        <is>
          <t>HUM-AEMO-2026-ISP-A5</t>
        </is>
      </c>
      <c r="P179" s="4" t="inlineStr">
        <is>
          <t>39</t>
        </is>
      </c>
      <c r="Q179" s="4" t="inlineStr">
        <is>
          <t xml:space="preserve">South. 
Pre-requisite: None </t>
        </is>
      </c>
      <c r="R179" s="4" t="inlineStr"/>
      <c r="S179" s="4" t="inlineStr"/>
    </row>
    <row r="180">
      <c r="A180" s="4" t="inlineStr">
        <is>
          <t>Hunter Transmission Project</t>
        </is>
      </c>
      <c r="B180" s="4" t="inlineStr">
        <is>
          <t>HTP-PROJECT-HTP</t>
        </is>
      </c>
      <c r="C180" s="4" t="inlineStr">
        <is>
          <t>HTP-AO-2026-CWO-PREREQ</t>
        </is>
      </c>
      <c r="D180" s="4" t="inlineStr">
        <is>
          <t>other</t>
        </is>
      </c>
      <c r="E180" s="4" t="inlineStr">
        <is>
          <t>2026-06</t>
        </is>
      </c>
      <c r="F180" s="4" t="inlineStr">
        <is>
          <t>AEMO 2026 prerequisite for Central-West Orana REZ above 3 GW</t>
        </is>
      </c>
      <c r="G180" s="4" t="n"/>
      <c r="H180" s="4" t="n"/>
      <c r="I180" s="4" t="n"/>
      <c r="J180" s="4" t="n"/>
      <c r="K180" s="4" t="n"/>
      <c r="L180" s="4" t="inlineStr">
        <is>
          <t>prerequisite statement</t>
        </is>
      </c>
      <c r="M180" s="4" t="inlineStr">
        <is>
          <t>Central-West Orana REZ network infrastructure project entry</t>
        </is>
      </c>
      <c r="N180" s="4" t="inlineStr">
        <is>
          <t>A source-stated dependency; it does not make CWO capacity attributable to HTP or vice versa.</t>
        </is>
      </c>
      <c r="O180" s="4" t="inlineStr">
        <is>
          <t>HUM-AEMO-2026-ISP-A5</t>
        </is>
      </c>
      <c r="P180" s="4" t="inlineStr">
        <is>
          <t>23</t>
        </is>
      </c>
      <c r="Q180" s="4" t="inlineStr">
        <is>
          <t xml:space="preserve">Pre-requisite: CNSW-SNW Option 1 when Central-West Orana REZ exceeds 
3 GW. </t>
        </is>
      </c>
      <c r="R180" s="4" t="inlineStr"/>
      <c r="S180" s="4" t="inlineStr">
        <is>
          <t>AEMO 2024 p24 carries the equivalent note in the HTP option description.</t>
        </is>
      </c>
    </row>
    <row r="181">
      <c r="A181" s="4" t="inlineStr">
        <is>
          <t>Hunter Transmission Project</t>
        </is>
      </c>
      <c r="B181" s="4" t="inlineStr">
        <is>
          <t>HTP-PROJECT-HTP</t>
        </is>
      </c>
      <c r="C181" s="4" t="inlineStr">
        <is>
          <t>HTP-AO-2024-CWO-NOTE</t>
        </is>
      </c>
      <c r="D181" s="4" t="inlineStr">
        <is>
          <t>other</t>
        </is>
      </c>
      <c r="E181" s="4" t="inlineStr">
        <is>
          <t>2024-06</t>
        </is>
      </c>
      <c r="F181" s="4" t="inlineStr">
        <is>
          <t>AEMO 2024 note on Central-West Orana above 3 GW</t>
        </is>
      </c>
      <c r="G181" s="4" t="n"/>
      <c r="H181" s="4" t="n"/>
      <c r="I181" s="4" t="n"/>
      <c r="J181" s="4" t="n"/>
      <c r="K181" s="4" t="n"/>
      <c r="L181" s="4" t="inlineStr">
        <is>
          <t>dependency note</t>
        </is>
      </c>
      <c r="M181" s="4" t="inlineStr">
        <is>
          <t>Option 1 description in the 2024 HTP entry</t>
        </is>
      </c>
      <c r="N181" s="4" t="inlineStr">
        <is>
          <t>Predecessor wording of the 2026 prerequisite statement.</t>
        </is>
      </c>
      <c r="O181" s="4" t="inlineStr">
        <is>
          <t>HUM-AEMO-2024-ISP-A5</t>
        </is>
      </c>
      <c r="P181" s="4" t="inlineStr">
        <is>
          <t>24</t>
        </is>
      </c>
      <c r="Q181" s="4" t="inlineStr">
        <is>
          <t>Note: when Central West Orana REZ exceeds 3 gigawatts (GW), this option 
should be considered to transfer this additional generation to SNW.</t>
        </is>
      </c>
      <c r="R181" s="4" t="inlineStr"/>
      <c r="S181" s="4" t="inlineStr"/>
    </row>
    <row r="182">
      <c r="A182" s="4" t="inlineStr">
        <is>
          <t>Hunter Transmission Project</t>
        </is>
      </c>
      <c r="B182" s="4" t="inlineStr">
        <is>
          <t>HTP-PROJECT-HTP</t>
        </is>
      </c>
      <c r="C182" s="4" t="inlineStr">
        <is>
          <t>HTP-AO-2026-SRS-PREREQ</t>
        </is>
      </c>
      <c r="D182" s="4" t="inlineStr">
        <is>
          <t>other</t>
        </is>
      </c>
      <c r="E182" s="4" t="inlineStr">
        <is>
          <t>2026-06</t>
        </is>
      </c>
      <c r="F182" s="4" t="inlineStr">
        <is>
          <t>AEMO 2026 HTP as prerequisite for Sydney Ring South power flow control</t>
        </is>
      </c>
      <c r="G182" s="4" t="n"/>
      <c r="H182" s="4" t="n"/>
      <c r="I182" s="4" t="n"/>
      <c r="J182" s="4" t="n"/>
      <c r="K182" s="4" t="n"/>
      <c r="L182" s="4" t="inlineStr">
        <is>
          <t>prerequisite statement</t>
        </is>
      </c>
      <c r="M182" s="4" t="inlineStr">
        <is>
          <t>Sydney Ring South power flow control augmentation (CNSW-SNW Option 2d)</t>
        </is>
      </c>
      <c r="N182" s="4" t="inlineStr">
        <is>
          <t>Sydney Ring South remains a separately represented actionable ISP project; the dependency does not merge the two.</t>
        </is>
      </c>
      <c r="O182" s="4" t="inlineStr">
        <is>
          <t>HUM-AEMO-2026-ISP-A5</t>
        </is>
      </c>
      <c r="P182" s="4" t="inlineStr">
        <is>
          <t>43</t>
        </is>
      </c>
      <c r="Q182" s="4" t="inlineStr">
        <is>
          <t>Pre-requisite: CNSW-SNW Option 1 (HTP)</t>
        </is>
      </c>
      <c r="R182" s="4" t="inlineStr"/>
      <c r="S182" s="4" t="inlineStr"/>
    </row>
    <row r="183">
      <c r="A183" s="4" t="inlineStr">
        <is>
          <t>Hunter Transmission Project</t>
        </is>
      </c>
      <c r="B183" s="4" t="inlineStr">
        <is>
          <t>HTP-PROJECT-HTP</t>
        </is>
      </c>
      <c r="C183" s="4" t="inlineStr">
        <is>
          <t>HTP-AO-2026-WSB-BUNDLE</t>
        </is>
      </c>
      <c r="D183" s="4" t="inlineStr">
        <is>
          <t>other</t>
        </is>
      </c>
      <c r="E183" s="4" t="inlineStr">
        <is>
          <t>2026-06</t>
        </is>
      </c>
      <c r="F183" s="4" t="inlineStr">
        <is>
          <t>AEMO 2026 bundling of the Waratah Super Battery into the HTP representation</t>
        </is>
      </c>
      <c r="G183" s="4" t="n"/>
      <c r="H183" s="4" t="n"/>
      <c r="I183" s="4" t="n"/>
      <c r="J183" s="4" t="n"/>
      <c r="K183" s="4" t="n"/>
      <c r="L183" s="4" t="inlineStr">
        <is>
          <t>scope boundary statement</t>
        </is>
      </c>
      <c r="M183" s="4" t="inlineStr">
        <is>
          <t>AEMO's representation of the Sydney Ring North project</t>
        </is>
      </c>
      <c r="N183" s="4" t="inlineStr">
        <is>
          <t>The 2024 ISP said the project 'may include' WSB; the 2026 wording is stronger. No WSB amount is added to any HTP cost.</t>
        </is>
      </c>
      <c r="O183" s="4" t="inlineStr">
        <is>
          <t>HUM-AEMO-2026-ISP-A5</t>
        </is>
      </c>
      <c r="P183" s="4" t="inlineStr">
        <is>
          <t>38</t>
        </is>
      </c>
      <c r="Q183" s="4" t="inlineStr">
        <is>
          <t>This project is named the Hunter Transmission Project and includes the WSB and related upgrades.</t>
        </is>
      </c>
      <c r="R183" s="4" t="inlineStr"/>
      <c r="S183" s="4" t="inlineStr"/>
    </row>
    <row r="184">
      <c r="A184" s="4" t="inlineStr">
        <is>
          <t>Hunter Transmission Project</t>
        </is>
      </c>
      <c r="B184" s="4" t="inlineStr">
        <is>
          <t>HTP-PROJECT-HTP</t>
        </is>
      </c>
      <c r="C184" s="4" t="inlineStr">
        <is>
          <t>HTP-AO-2022-NAMING</t>
        </is>
      </c>
      <c r="D184" s="4" t="inlineStr">
        <is>
          <t>other</t>
        </is>
      </c>
      <c r="E184" s="4" t="inlineStr">
        <is>
          <t>2022-06</t>
        </is>
      </c>
      <c r="F184" s="4" t="inlineStr">
        <is>
          <t>AEMO 2022 ISP naming of the northern Sydney Ring</t>
        </is>
      </c>
      <c r="G184" s="4" t="n"/>
      <c r="H184" s="4" t="n"/>
      <c r="I184" s="4" t="n"/>
      <c r="J184" s="4" t="n"/>
      <c r="K184" s="4" t="n"/>
      <c r="L184" s="4" t="inlineStr">
        <is>
          <t>identity statement</t>
        </is>
      </c>
      <c r="M184" s="4" t="inlineStr">
        <is>
          <t>Northern part of the Sydney Ring project</t>
        </is>
      </c>
      <c r="N184" s="4" t="inlineStr">
        <is>
          <t>Establishes the naming lineage only; no cost or capacity is taken from the 2022 ISP.</t>
        </is>
      </c>
      <c r="O184" s="4" t="inlineStr">
        <is>
          <t>HUM-AEMO-2022-ISP</t>
        </is>
      </c>
      <c r="P184" s="4" t="inlineStr">
        <is>
          <t>70</t>
        </is>
      </c>
      <c r="Q184" s="4" t="inlineStr">
        <is>
          <t>The northern part of this project is 
named the Hunter Transmission Project and may include the Waratah Super Battery and related upgrades.</t>
        </is>
      </c>
      <c r="R184" s="4" t="inlineStr"/>
      <c r="S184" s="4" t="inlineStr"/>
    </row>
    <row r="185">
      <c r="A185" s="4" t="inlineStr">
        <is>
          <t>Hunter Transmission Project</t>
        </is>
      </c>
      <c r="B185" s="4" t="inlineStr">
        <is>
          <t>HTP-PROJECT-HTP</t>
        </is>
      </c>
      <c r="C185" s="4" t="inlineStr">
        <is>
          <t>HTP-AO-2026-ENERGYCO-TRUNK-KM</t>
        </is>
      </c>
      <c r="D185" s="4" t="inlineStr">
        <is>
          <t>trunk_km</t>
        </is>
      </c>
      <c r="E185" s="4" t="inlineStr">
        <is>
          <t>2026-09</t>
        </is>
      </c>
      <c r="F185" s="4" t="inlineStr">
        <is>
          <t>EnergyCo 2026 transmission infrastructure page route length</t>
        </is>
      </c>
      <c r="G185" s="4" t="n">
        <v>110</v>
      </c>
      <c r="H185" s="4" t="inlineStr">
        <is>
          <t>km</t>
        </is>
      </c>
      <c r="I185" s="4" t="n"/>
      <c r="J185" s="4" t="n"/>
      <c r="K185" s="4" t="n"/>
      <c r="L185" s="4" t="inlineStr">
        <is>
          <t>scope description</t>
        </is>
      </c>
      <c r="M185" s="4" t="inlineStr">
        <is>
          <t>New overhead 500 kV transmission line between Bayswater and Olney (near Eraring)</t>
        </is>
      </c>
      <c r="N185" s="4" t="inlineStr">
        <is>
          <t>First archived route-length observation for HTP; no AEMO ISP appendix states a route length. The EnergyCo project page states the same 110-kilometre figure.</t>
        </is>
      </c>
      <c r="O185" s="4" t="inlineStr">
        <is>
          <t>HTP-ENERGYCO-2026-INFRA-PAGE</t>
        </is>
      </c>
      <c r="P185" s="4" t="inlineStr">
        <is>
          <t>web</t>
        </is>
      </c>
      <c r="Q185" s="4" t="inlineStr">
        <is>
          <t>The new overhead 500 kV transmission line will span 110 kilometres, connecting existing transmission lines at Bayswater and Olney, near Eraring.</t>
        </is>
      </c>
      <c r="R185" s="4" t="inlineStr">
        <is>
          <t>selected</t>
        </is>
      </c>
      <c r="S185" s="4" t="inlineStr"/>
    </row>
    <row r="186">
      <c r="A186" s="4" t="inlineStr">
        <is>
          <t>Hunter Transmission Project</t>
        </is>
      </c>
      <c r="B186" s="4" t="inlineStr">
        <is>
          <t>HTP-PROJECT-HTP</t>
        </is>
      </c>
      <c r="C186" s="4" t="inlineStr">
        <is>
          <t>HTP-AO-2026-ENERGYCO-LINE-LENGTH-PROJECTPAGE</t>
        </is>
      </c>
      <c r="D186" s="4" t="inlineStr">
        <is>
          <t>trunk_km</t>
        </is>
      </c>
      <c r="E186" s="4" t="inlineStr">
        <is>
          <t>2026-09</t>
        </is>
      </c>
      <c r="F186" s="4" t="inlineStr">
        <is>
          <t>EnergyCo 2026 project page route length</t>
        </is>
      </c>
      <c r="G186" s="4" t="n">
        <v>110</v>
      </c>
      <c r="H186" s="4" t="inlineStr">
        <is>
          <t>km</t>
        </is>
      </c>
      <c r="I186" s="4" t="n"/>
      <c r="J186" s="4" t="n"/>
      <c r="K186" s="4" t="n"/>
      <c r="L186" s="4" t="inlineStr">
        <is>
          <t>scope description</t>
        </is>
      </c>
      <c r="M186" s="4" t="inlineStr">
        <is>
          <t>New overhead 500 kV transmission line between Bayswater in the Upper Hunter and Olney in the Lower Hunter</t>
        </is>
      </c>
      <c r="N186" s="4" t="inlineStr">
        <is>
          <t>Matches the transmission infrastructure page's 110 km figure; also states the line connects to the state's existing 500 kV lines to create a 500 kV ring.</t>
        </is>
      </c>
      <c r="O186" s="4" t="inlineStr">
        <is>
          <t>HTP-ENERGYCO-2026-PROJECT-PAGE</t>
        </is>
      </c>
      <c r="P186" s="4" t="inlineStr">
        <is>
          <t>web</t>
        </is>
      </c>
      <c r="Q186" s="4" t="inlineStr">
        <is>
          <t>The Hunter Transmission Project involves building a new, 110-kilometre, overhead 500 kilovolt (kV) transmission line between Bayswater in the Upper Hunter and Olney in the Lower Hunter.</t>
        </is>
      </c>
      <c r="R186" s="4" t="inlineStr"/>
      <c r="S186" s="4" t="inlineStr"/>
    </row>
    <row r="187">
      <c r="A187" s="4" t="inlineStr">
        <is>
          <t>Hunter Transmission Project</t>
        </is>
      </c>
      <c r="B187" s="4" t="inlineStr">
        <is>
          <t>HTP-PROJECT-HTP</t>
        </is>
      </c>
      <c r="C187" s="4" t="inlineStr">
        <is>
          <t>HTP-AO-2026-ENERGYCO-CIRCUITS</t>
        </is>
      </c>
      <c r="D187" s="4" t="inlineStr">
        <is>
          <t>circuits</t>
        </is>
      </c>
      <c r="E187" s="4" t="inlineStr">
        <is>
          <t>2026-09</t>
        </is>
      </c>
      <c r="F187" s="4" t="inlineStr">
        <is>
          <t>EnergyCo 2026 transmission infrastructure page circuit description</t>
        </is>
      </c>
      <c r="G187" s="4" t="n">
        <v>2</v>
      </c>
      <c r="H187" s="4" t="inlineStr">
        <is>
          <t>count</t>
        </is>
      </c>
      <c r="I187" s="4" t="n"/>
      <c r="J187" s="4" t="n"/>
      <c r="K187" s="4" t="n"/>
      <c r="L187" s="4" t="inlineStr">
        <is>
          <t>scope description</t>
        </is>
      </c>
      <c r="M187" s="4" t="inlineStr">
        <is>
          <t>New overhead 500 kV transmission line between Bayswater and Olney</t>
        </is>
      </c>
      <c r="N187" s="4" t="inlineStr">
        <is>
          <t>Corroborates AEMO's double-circuit description of the same line; adds tower construction detail.</t>
        </is>
      </c>
      <c r="O187" s="4" t="inlineStr">
        <is>
          <t>HTP-ENERGYCO-2026-INFRA-PAGE</t>
        </is>
      </c>
      <c r="P187" s="4" t="inlineStr">
        <is>
          <t>web</t>
        </is>
      </c>
      <c r="Q187" s="4" t="inlineStr">
        <is>
          <t>It will be supported by double-circuit steel lattice towers.</t>
        </is>
      </c>
      <c r="R187" s="4" t="inlineStr"/>
      <c r="S187" s="4" t="inlineStr"/>
    </row>
    <row r="188">
      <c r="A188" s="4" t="inlineStr">
        <is>
          <t>Hunter Transmission Project</t>
        </is>
      </c>
      <c r="B188" s="4" t="inlineStr">
        <is>
          <t>HTP-PROJECT-HTP</t>
        </is>
      </c>
      <c r="C188" s="4" t="inlineStr">
        <is>
          <t>HTP-AO-2026-ENERGYCO-LINES</t>
        </is>
      </c>
      <c r="D188" s="4" t="inlineStr">
        <is>
          <t>lines</t>
        </is>
      </c>
      <c r="E188" s="4" t="inlineStr">
        <is>
          <t>2026-09</t>
        </is>
      </c>
      <c r="F188" s="4" t="inlineStr">
        <is>
          <t>EnergyCo 2026 transmission infrastructure page line description</t>
        </is>
      </c>
      <c r="G188" s="4" t="n">
        <v>1</v>
      </c>
      <c r="H188" s="4" t="inlineStr">
        <is>
          <t>count</t>
        </is>
      </c>
      <c r="I188" s="4" t="n"/>
      <c r="J188" s="4" t="n"/>
      <c r="K188" s="4" t="n"/>
      <c r="L188" s="4" t="inlineStr">
        <is>
          <t>scope description</t>
        </is>
      </c>
      <c r="M188" s="4" t="inlineStr">
        <is>
          <t>New overhead 500 kV transmission line between Bayswater and Olney</t>
        </is>
      </c>
      <c r="N188" s="4" t="inlineStr">
        <is>
          <t>One line carrying two circuits; consistent with AEMO's single double-circuit line description.</t>
        </is>
      </c>
      <c r="O188" s="4" t="inlineStr">
        <is>
          <t>HTP-ENERGYCO-2026-INFRA-PAGE</t>
        </is>
      </c>
      <c r="P188" s="4" t="inlineStr">
        <is>
          <t>web</t>
        </is>
      </c>
      <c r="Q188" s="4" t="inlineStr">
        <is>
          <t>The Hunter Transmission Project (HTP) involves building a new, 110-kilometre, 500 kilovolt (kV) overhead transmission line between Bayswater in the Upper Hunter and Olney in the Lower Hunter.</t>
        </is>
      </c>
      <c r="R188" s="4" t="inlineStr"/>
      <c r="S188" s="4" t="inlineStr"/>
    </row>
    <row r="189">
      <c r="A189" s="4" t="inlineStr">
        <is>
          <t>Hunter Transmission Project</t>
        </is>
      </c>
      <c r="B189" s="4" t="inlineStr">
        <is>
          <t>HTP-PROJECT-HTP</t>
        </is>
      </c>
      <c r="C189" s="4" t="inlineStr">
        <is>
          <t>HTP-AO-2026-ENERGYCO-VOLTAGE</t>
        </is>
      </c>
      <c r="D189" s="4" t="inlineStr">
        <is>
          <t>voltage</t>
        </is>
      </c>
      <c r="E189" s="4" t="inlineStr">
        <is>
          <t>2026-09</t>
        </is>
      </c>
      <c r="F189" s="4" t="inlineStr">
        <is>
          <t>EnergyCo 2026 transmission infrastructure page voltage</t>
        </is>
      </c>
      <c r="G189" s="4" t="n">
        <v>500</v>
      </c>
      <c r="H189" s="4" t="inlineStr">
        <is>
          <t>kV</t>
        </is>
      </c>
      <c r="I189" s="4" t="n"/>
      <c r="J189" s="4" t="n"/>
      <c r="K189" s="4" t="n"/>
      <c r="L189" s="4" t="inlineStr">
        <is>
          <t>scope description</t>
        </is>
      </c>
      <c r="M189" s="4" t="inlineStr">
        <is>
          <t>New overhead trunk line between Bayswater and Olney</t>
        </is>
      </c>
      <c r="N189" s="4" t="inlineStr">
        <is>
          <t>Consistent with AEMO's 500 kV description and the EnergyCo project page's identical wording.</t>
        </is>
      </c>
      <c r="O189" s="4" t="inlineStr">
        <is>
          <t>HTP-ENERGYCO-2026-INFRA-PAGE</t>
        </is>
      </c>
      <c r="P189" s="4" t="inlineStr">
        <is>
          <t>web</t>
        </is>
      </c>
      <c r="Q189" s="4" t="inlineStr">
        <is>
          <t>500 kilovolt (kV) overhead transmission line</t>
        </is>
      </c>
      <c r="R189" s="4" t="inlineStr"/>
      <c r="S189" s="4" t="inlineStr"/>
    </row>
    <row r="190">
      <c r="A190" s="4" t="inlineStr">
        <is>
          <t>Hunter Transmission Project</t>
        </is>
      </c>
      <c r="B190" s="4" t="inlineStr">
        <is>
          <t>HTP-PROJECT-HTP</t>
        </is>
      </c>
      <c r="C190" s="4" t="inlineStr">
        <is>
          <t>HTP-AO-2026-ENERGYCO-TOWERS</t>
        </is>
      </c>
      <c r="D190" s="4" t="inlineStr">
        <is>
          <t>other</t>
        </is>
      </c>
      <c r="E190" s="4" t="inlineStr">
        <is>
          <t>2026-09</t>
        </is>
      </c>
      <c r="F190" s="4" t="inlineStr">
        <is>
          <t>EnergyCo 2026 transmission infrastructure page tower specification</t>
        </is>
      </c>
      <c r="G190" s="4" t="n"/>
      <c r="H190" s="4" t="n"/>
      <c r="I190" s="4" t="n"/>
      <c r="J190" s="4" t="n"/>
      <c r="K190" s="4" t="n"/>
      <c r="L190" s="4" t="inlineStr">
        <is>
          <t>scope description</t>
        </is>
      </c>
      <c r="M190" s="4" t="inlineStr">
        <is>
          <t>Support structures for the new overhead 500 kV line between Bayswater and Olney</t>
        </is>
      </c>
      <c r="N190" s="4" t="inlineStr">
        <is>
          <t>Construction-method detail; not stated by any AEMO ISP appendix.</t>
        </is>
      </c>
      <c r="O190" s="4" t="inlineStr">
        <is>
          <t>HTP-ENERGYCO-2026-INFRA-PAGE</t>
        </is>
      </c>
      <c r="P190" s="4" t="inlineStr">
        <is>
          <t>web</t>
        </is>
      </c>
      <c r="Q190" s="4" t="inlineStr">
        <is>
          <t>The towers will be up to 85 metres tall and generally spaced 300 to 600 metres apart, depending on the terrain and other constraints along the corridor.</t>
        </is>
      </c>
      <c r="R190" s="4" t="inlineStr"/>
      <c r="S190" s="4" t="inlineStr"/>
    </row>
    <row r="191">
      <c r="A191" s="4" t="inlineStr">
        <is>
          <t>Hunter Transmission Project</t>
        </is>
      </c>
      <c r="B191" s="4" t="inlineStr">
        <is>
          <t>HTP-PROJECT-HTP</t>
        </is>
      </c>
      <c r="C191" s="4" t="inlineStr">
        <is>
          <t>HTP-AO-2026-ENERGYCO-SWITCHING</t>
        </is>
      </c>
      <c r="D191" s="4" t="inlineStr">
        <is>
          <t>other</t>
        </is>
      </c>
      <c r="E191" s="4" t="inlineStr">
        <is>
          <t>2026-09</t>
        </is>
      </c>
      <c r="F191" s="4" t="inlineStr">
        <is>
          <t>EnergyCo 2026 transmission infrastructure page switching stations</t>
        </is>
      </c>
      <c r="G191" s="4" t="n">
        <v>2</v>
      </c>
      <c r="H191" s="4" t="inlineStr">
        <is>
          <t>count</t>
        </is>
      </c>
      <c r="I191" s="4" t="n"/>
      <c r="J191" s="4" t="n"/>
      <c r="K191" s="4" t="n"/>
      <c r="L191" s="4" t="inlineStr">
        <is>
          <t>scope description</t>
        </is>
      </c>
      <c r="M191" s="4" t="inlineStr">
        <is>
          <t>New switching stations for the Hunter Transmission Project</t>
        </is>
      </c>
      <c r="N191" s="4" t="inlineStr">
        <is>
          <t>Names and locates the two switching stations described more generally in AEMO's scope list (HTP-CMP-SWITCHING).</t>
        </is>
      </c>
      <c r="O191" s="4" t="inlineStr">
        <is>
          <t>HTP-ENERGYCO-2026-INFRA-PAGE</t>
        </is>
      </c>
      <c r="P191" s="4" t="inlineStr">
        <is>
          <t>web</t>
        </is>
      </c>
      <c r="Q191" s="4" t="inlineStr">
        <is>
          <t>We’ll build 2 new switching stations – 1 near the existing Bayswater substation and another at a former timber plantation site in Olney State Forest.</t>
        </is>
      </c>
      <c r="R191" s="4" t="inlineStr"/>
      <c r="S191" s="4" t="inlineStr"/>
    </row>
    <row r="192">
      <c r="A192" s="4" t="inlineStr">
        <is>
          <t>Hunter Transmission Project</t>
        </is>
      </c>
      <c r="B192" s="4" t="inlineStr">
        <is>
          <t>HTP-PROJECT-HTP</t>
        </is>
      </c>
      <c r="C192" s="4" t="inlineStr">
        <is>
          <t>HTP-AO-2026-ENERGYCO-APPROVAL</t>
        </is>
      </c>
      <c r="D192" s="4" t="inlineStr">
        <is>
          <t>other</t>
        </is>
      </c>
      <c r="E192" s="4" t="inlineStr">
        <is>
          <t>2026-07</t>
        </is>
      </c>
      <c r="F192" s="4" t="inlineStr">
        <is>
          <t>EnergyCo 2026 project page planning approval statement</t>
        </is>
      </c>
      <c r="G192" s="4" t="n"/>
      <c r="H192" s="4" t="n"/>
      <c r="I192" s="4" t="n"/>
      <c r="J192" s="4" t="n"/>
      <c r="K192" s="4" t="n"/>
      <c r="L192" s="4" t="inlineStr">
        <is>
          <t>status statement</t>
        </is>
      </c>
      <c r="M192" s="4" t="inlineStr">
        <is>
          <t>Overall planning approval status for the Hunter Transmission Project</t>
        </is>
      </c>
      <c r="N192" s="4" t="inlineStr">
        <is>
          <t>A later and more advanced status than AEMO 2026 ISP's 'independent assessment phase' (captured June 2026); this EnergyCo page was captured 2026-09-04 and dates the approval to July 2026. No independent assessment or authorisation record was separately captured to verify this statement.</t>
        </is>
      </c>
      <c r="O192" s="4" t="inlineStr">
        <is>
          <t>HTP-ENERGYCO-2026-PROJECT-PAGE</t>
        </is>
      </c>
      <c r="P192" s="4" t="inlineStr">
        <is>
          <t>web</t>
        </is>
      </c>
      <c r="Q192" s="4" t="inlineStr">
        <is>
          <t>The NSW Department of Planning, Housing and Infrastructure has granted planning approval for the Hunter Transmission Project, with the Minister for Planning and Public Spaces issuing the Conditions of Approval following a detailed and independent assessment process.</t>
        </is>
      </c>
      <c r="R192" s="4" t="inlineStr"/>
      <c r="S192" s="4" t="inlineStr">
        <is>
          <t>The same page states this update is headed 'Planning approval granted for the Hunter Transmission Project | July 2026'.</t>
        </is>
      </c>
    </row>
    <row r="193">
      <c r="A193" s="4" t="inlineStr">
        <is>
          <t>Hunter Transmission Project</t>
        </is>
      </c>
      <c r="B193" s="4" t="inlineStr">
        <is>
          <t>HTP-PROJECT-HTP</t>
        </is>
      </c>
      <c r="C193" s="4" t="inlineStr">
        <is>
          <t>HTP-AO-2026-ENERGYCO-CONSTRUCTION-START</t>
        </is>
      </c>
      <c r="D193" s="4" t="inlineStr">
        <is>
          <t>other</t>
        </is>
      </c>
      <c r="E193" s="4" t="inlineStr">
        <is>
          <t>2026-09</t>
        </is>
      </c>
      <c r="F193" s="4" t="inlineStr">
        <is>
          <t>EnergyCo 2026 project page construction timing statement</t>
        </is>
      </c>
      <c r="G193" s="4" t="n"/>
      <c r="H193" s="4" t="n"/>
      <c r="I193" s="4" t="n"/>
      <c r="J193" s="4" t="n"/>
      <c r="K193" s="4" t="inlineStr">
        <is>
          <t>Proponent expectation, not a commissioning record</t>
        </is>
      </c>
      <c r="L193" s="4" t="inlineStr">
        <is>
          <t>timing statement</t>
        </is>
      </c>
      <c r="M193" s="4" t="inlineStr">
        <is>
          <t>Construction start for the Hunter Transmission Project</t>
        </is>
      </c>
      <c r="N193" s="4" t="inlineStr">
        <is>
          <t>Supersedes AEMO 2026 ISP's conditional statement that construction is expected to start in late 2026 if approved (HTP-AO-2026-STATUS), which predates the July 2026 approval recorded on this page; the same mid-2027 statement also appears on the EnergyCo transmission infrastructure page.</t>
        </is>
      </c>
      <c r="O193" s="4" t="inlineStr">
        <is>
          <t>HTP-ENERGYCO-2026-PROJECT-PAGE</t>
        </is>
      </c>
      <c r="P193" s="4" t="inlineStr">
        <is>
          <t>web</t>
        </is>
      </c>
      <c r="Q193" s="4" t="inlineStr">
        <is>
          <t>Construction is expected to start in mid-2027.</t>
        </is>
      </c>
      <c r="R193" s="4" t="inlineStr"/>
      <c r="S193" s="4" t="inlineStr"/>
    </row>
    <row r="194">
      <c r="A194" s="4" t="inlineStr">
        <is>
          <t>Hunter Transmission Project</t>
        </is>
      </c>
      <c r="B194" s="4" t="inlineStr">
        <is>
          <t>HTP-PROJECT-HTP</t>
        </is>
      </c>
      <c r="C194" s="4" t="inlineStr">
        <is>
          <t>HTP-AO-2025-AER-HCC-REVENUE</t>
        </is>
      </c>
      <c r="D194" s="4" t="inlineStr">
        <is>
          <t>cost</t>
        </is>
      </c>
      <c r="E194" s="4" t="inlineStr">
        <is>
          <t>2025-12</t>
        </is>
      </c>
      <c r="F194" s="4" t="inlineStr">
        <is>
          <t>AER final decision Ausgrid Hunter-Central Coast REZ revenue</t>
        </is>
      </c>
      <c r="G194" s="4" t="n">
        <v>189.6</v>
      </c>
      <c r="H194" s="4" t="inlineStr">
        <is>
          <t>AUD million</t>
        </is>
      </c>
      <c r="I194" s="4" t="inlineStr">
        <is>
          <t>$ nominal</t>
        </is>
      </c>
      <c r="J194" s="4" t="n"/>
      <c r="K194" s="4" t="n"/>
      <c r="L194" s="4" t="inlineStr">
        <is>
          <t>AER final revenue determination for 2026-31</t>
        </is>
      </c>
      <c r="M194" s="4" t="inlineStr">
        <is>
          <t>Ausgrid's Hunter-Central Coast REZ non-contestable network infrastructure project total revenue for 2026-31, distribution level; this is a related REZ project, not the Hunter Transmission Project</t>
        </is>
      </c>
      <c r="N194" s="4" t="inlineStr">
        <is>
          <t>Not comparable with any HTP cost observation (HTP-AO-2026-COST, HTP-AO-2024-COST, HTP-AO-2023-NIS-STAGE1-COST): different project (HCC REZ, not HTP), different Network Operator (Ausgrid distribution, not the HTP transmission proponent), and a different regulatory process (AER non-contestable revenue determination under the EII Act, not an ISP option cost or EnergyCo construction estimate).</t>
        </is>
      </c>
      <c r="O194" s="4" t="inlineStr">
        <is>
          <t>HTP-AER-2025-FINALDECISION</t>
        </is>
      </c>
      <c r="P194" s="4" t="inlineStr">
        <is>
          <t>7</t>
        </is>
      </c>
      <c r="Q194" s="4" t="inlineStr">
        <is>
          <t>Our final decision is that Ausgrid can recover $189.6 million ($ nominal) for the 2026–31 period.</t>
        </is>
      </c>
      <c r="R194" s="4" t="inlineStr"/>
      <c r="S194" s="4" t="inlineStr">
        <is>
          <t>The same $189.6 million figure recurs at pp22 and 83 of the same decision.</t>
        </is>
      </c>
    </row>
    <row r="195">
      <c r="A195" s="4" t="inlineStr">
        <is>
          <t>Hunter Transmission Project</t>
        </is>
      </c>
      <c r="B195" s="4" t="inlineStr">
        <is>
          <t>HTP-PROJECT-HTP</t>
        </is>
      </c>
      <c r="C195" s="4" t="inlineStr">
        <is>
          <t>HTP-AO-2025-AER-HCC-CAPACITY</t>
        </is>
      </c>
      <c r="D195" s="4" t="inlineStr">
        <is>
          <t>capacity</t>
        </is>
      </c>
      <c r="E195" s="4" t="inlineStr">
        <is>
          <t>2025-12</t>
        </is>
      </c>
      <c r="F195" s="4" t="inlineStr">
        <is>
          <t>AER final decision HCC Project network transfer capacity</t>
        </is>
      </c>
      <c r="G195" s="4" t="n">
        <v>1</v>
      </c>
      <c r="H195" s="4" t="inlineStr">
        <is>
          <t>GW</t>
        </is>
      </c>
      <c r="I195" s="4" t="n"/>
      <c r="J195" s="4" t="n"/>
      <c r="K195" s="4" t="n"/>
      <c r="L195" s="4" t="inlineStr">
        <is>
          <t>scope description</t>
        </is>
      </c>
      <c r="M195" s="4" t="inlineStr">
        <is>
          <t>HCC Project additional network transfer capacity (Ausgrid, distribution level, three portions); a related REZ project, not the Hunter Transmission Project</t>
        </is>
      </c>
      <c r="N195" s="4" t="inlineStr">
        <is>
          <t>A separate REZ distribution capacity figure from HTP's 5,000 MW forward network capacity (HTP-AO-2026-CAPACITY-FORWARD); do not add or compare.</t>
        </is>
      </c>
      <c r="O195" s="4" t="inlineStr">
        <is>
          <t>HTP-AER-2025-FINALDECISION</t>
        </is>
      </c>
      <c r="P195" s="4" t="inlineStr">
        <is>
          <t>9</t>
        </is>
      </c>
      <c r="Q195" s="4" t="inlineStr">
        <is>
          <t>It will provide an additional 1 GW of network transfer capacity and will consist of three portions:</t>
        </is>
      </c>
      <c r="R195" s="4" t="inlineStr"/>
      <c r="S195" s="4" t="inlineStr"/>
    </row>
    <row r="196">
      <c r="A196" s="4" t="inlineStr">
        <is>
          <t>Hunter Transmission Project</t>
        </is>
      </c>
      <c r="B196" s="4" t="inlineStr">
        <is>
          <t>HTP-PROJECT-HTP</t>
        </is>
      </c>
      <c r="C196" s="4" t="inlineStr">
        <is>
          <t>HTP-AO-2025-AER-HCC-PORTIONS</t>
        </is>
      </c>
      <c r="D196" s="4" t="inlineStr">
        <is>
          <t>other</t>
        </is>
      </c>
      <c r="E196" s="4" t="inlineStr">
        <is>
          <t>2025-12</t>
        </is>
      </c>
      <c r="F196" s="4" t="inlineStr">
        <is>
          <t>AER final decision HCC Project Portion 2 distribution works</t>
        </is>
      </c>
      <c r="G196" s="4" t="n"/>
      <c r="H196" s="4" t="n"/>
      <c r="I196" s="4" t="n"/>
      <c r="J196" s="4" t="n"/>
      <c r="K196" s="4" t="n"/>
      <c r="L196" s="4" t="inlineStr">
        <is>
          <t>scope description</t>
        </is>
      </c>
      <c r="M196" s="4" t="inlineStr">
        <is>
          <t>HCC Project Portion 2 works (Ausgrid, distribution level)</t>
        </is>
      </c>
      <c r="N196" s="4" t="inlineStr">
        <is>
          <t>Distribution-level 132kV works at Muswellbrook and between Singleton and Kurri; unrelated to HTP's 500kV Bayswater-Olney trunk line and not an HTP scope item.</t>
        </is>
      </c>
      <c r="O196" s="4" t="inlineStr">
        <is>
          <t>HTP-AER-2025-FINALDECISION</t>
        </is>
      </c>
      <c r="P196" s="4" t="inlineStr">
        <is>
          <t>9</t>
        </is>
      </c>
      <c r="Q196" s="4" t="inlineStr">
        <is>
          <t>Portion 2: Muswellbrook network rearrangement, Singleton to Kurri 132kV link, and installation of a communications link across the Hawkesbury River (providing a cumulative total of 630 MW additional network capacity), scheduled for completion in June 2028.</t>
        </is>
      </c>
      <c r="R196" s="4" t="inlineStr"/>
      <c r="S196" s="4" t="inlineStr">
        <is>
          <t>Portion 1 (Upper Hunter secondary systems modernisation, 350MW, late 2025) and Portion 3 (new Antiene 132kV switching station and Antiene to Singleton 132kV link, cumulative 1 GW, July 2028) are described in the same passage (p9) but not separately recorded here.</t>
        </is>
      </c>
    </row>
    <row r="197">
      <c r="A197" s="4" t="inlineStr">
        <is>
          <t>Hunter Transmission Project</t>
        </is>
      </c>
      <c r="B197" s="4" t="inlineStr">
        <is>
          <t>HTP-PROJECT-HTP</t>
        </is>
      </c>
      <c r="C197" s="4" t="inlineStr">
        <is>
          <t>HTP-AO-2022-GAZETTE-HCC-DECLARATION</t>
        </is>
      </c>
      <c r="D197" s="4" t="inlineStr">
        <is>
          <t>other</t>
        </is>
      </c>
      <c r="E197" s="4" t="inlineStr">
        <is>
          <t>2022-12-09</t>
        </is>
      </c>
      <c r="F197" s="4" t="inlineStr">
        <is>
          <t>NSW Government Gazette declaration of the Hunter-Central Coast REZ</t>
        </is>
      </c>
      <c r="G197" s="4" t="n"/>
      <c r="H197" s="4" t="n"/>
      <c r="I197" s="4" t="n"/>
      <c r="J197" s="4" t="n"/>
      <c r="K197" s="4" t="n"/>
      <c r="L197" s="4" t="inlineStr">
        <is>
          <t>declaration</t>
        </is>
      </c>
      <c r="M197" s="4" t="inlineStr">
        <is>
          <t>Hunter-Central Coast renewable energy zone declaration under the Electricity Infrastructure Investment Act 2020 (NSW); a related REZ declaration, not an HTP authorisation</t>
        </is>
      </c>
      <c r="N197" s="4" t="inlineStr">
        <is>
          <t>Declares the REZ within which HTP sits; does not declare, authorise or name HTP itself.</t>
        </is>
      </c>
      <c r="O197" s="4" t="inlineStr">
        <is>
          <t>HTP-NSWGOV-2022-GAZETTE-569</t>
        </is>
      </c>
      <c r="P197" s="4" t="inlineStr">
        <is>
          <t>7</t>
        </is>
      </c>
      <c r="Q197" s="4" t="inlineStr">
        <is>
          <t>The Hunter-Central Coast renewable energy zone is hereby declared and comprises:</t>
        </is>
      </c>
      <c r="R197" s="4" t="inlineStr"/>
      <c r="S197" s="4" t="inlineStr">
        <is>
          <t>The gazette masthead (p1) reads 'NSW Government Gazette No 569 of 9 December 2022' and 'Friday, 9 December 2022'; AER's 2025 final decision (p9) also states the Minister declared the HCC REZ on 9 December 2022. The manifest's document title records '16 December 2022', which does not match the date printed in the captured document.</t>
        </is>
      </c>
    </row>
    <row r="198">
      <c r="A198" s="4" t="inlineStr">
        <is>
          <t>Hunter Transmission Project</t>
        </is>
      </c>
      <c r="B198" s="4" t="inlineStr">
        <is>
          <t>HTP-PROJECT-HTP</t>
        </is>
      </c>
      <c r="C198" s="4" t="inlineStr">
        <is>
          <t>HTP-AO-2022-GAZETTE-HCC-CAPACITY</t>
        </is>
      </c>
      <c r="D198" s="4" t="inlineStr">
        <is>
          <t>capacity</t>
        </is>
      </c>
      <c r="E198" s="4" t="inlineStr">
        <is>
          <t>2022-12-09</t>
        </is>
      </c>
      <c r="F198" s="4" t="inlineStr">
        <is>
          <t>NSW Government Gazette intended network capacity for the HCC REZ</t>
        </is>
      </c>
      <c r="G198" s="4" t="n">
        <v>1</v>
      </c>
      <c r="H198" s="4" t="inlineStr">
        <is>
          <t>GW</t>
        </is>
      </c>
      <c r="I198" s="4" t="n"/>
      <c r="J198" s="4" t="n"/>
      <c r="K198" s="4" t="n"/>
      <c r="L198" s="4" t="inlineStr">
        <is>
          <t>declared intended network capacity</t>
        </is>
      </c>
      <c r="M198" s="4" t="inlineStr">
        <is>
          <t>Intended network capacity for network infrastructure in the Hunter-Central Coast REZ, as declared in the Order; a related REZ figure, not an HTP capacity</t>
        </is>
      </c>
      <c r="N198" s="4" t="inlineStr">
        <is>
          <t>Consistent in magnitude with AER's 2025 1 GW HCC Project figure (HTP-AO-2025-AER-HCC-CAPACITY); both are REZ-level declarations, not HTP.</t>
        </is>
      </c>
      <c r="O198" s="4" t="inlineStr">
        <is>
          <t>HTP-NSWGOV-2022-GAZETTE-569</t>
        </is>
      </c>
      <c r="P198" s="4" t="inlineStr">
        <is>
          <t>7</t>
        </is>
      </c>
      <c r="Q198" s="4" t="inlineStr">
        <is>
          <t>The intended network capacity for network infrastructure in the Hunter-Central Coast renewable energy zone is one gigawatt.</t>
        </is>
      </c>
      <c r="R198" s="4" t="inlineStr"/>
      <c r="S198" s="4" t="inlineStr"/>
    </row>
    <row r="199">
      <c r="A199" s="4" t="inlineStr">
        <is>
          <t>Project Marinus</t>
        </is>
      </c>
      <c r="B199" s="4" t="inlineStr">
        <is>
          <t>ML-PROJECT-MARINUS</t>
        </is>
      </c>
      <c r="C199" s="4" t="inlineStr">
        <is>
          <t>ML-AO-2021-PACR-EXPECTED</t>
        </is>
      </c>
      <c r="D199" s="4" t="inlineStr">
        <is>
          <t>cost</t>
        </is>
      </c>
      <c r="E199" s="4" t="inlineStr">
        <is>
          <t>2021-06</t>
        </is>
      </c>
      <c r="F199" s="4" t="inlineStr">
        <is>
          <t>PACR expected project cost</t>
        </is>
      </c>
      <c r="G199" s="4" t="n">
        <v>3481</v>
      </c>
      <c r="H199" s="4" t="inlineStr">
        <is>
          <t>AUD million</t>
        </is>
      </c>
      <c r="I199" s="4" t="inlineStr">
        <is>
          <t>2020 dollars</t>
        </is>
      </c>
      <c r="J199" s="4" t="n"/>
      <c r="K199" s="4" t="inlineStr">
        <is>
          <t>P10 3,138; P90 3,827</t>
        </is>
      </c>
      <c r="L199" s="4" t="inlineStr">
        <is>
          <t>expected / probabilistic median</t>
        </is>
      </c>
      <c r="M199" s="4" t="inlineStr">
        <is>
          <t>Preferred 1,500 MW two-stage Project Marinus option</t>
        </is>
      </c>
      <c r="N199" s="4" t="inlineStr">
        <is>
          <t>Not like-for-like with later ISP/proponent estimates</t>
        </is>
      </c>
      <c r="O199" s="4" t="inlineStr">
        <is>
          <t>ML-TN-2021-PACR</t>
        </is>
      </c>
      <c r="P199" s="4" t="inlineStr">
        <is>
          <t>16-17, 77</t>
        </is>
      </c>
      <c r="Q199" s="4" t="inlineStr">
        <is>
          <t>The Jacobs report provides an expected project cost for the delivery of Project Marinus of $3,481 million ($2020).</t>
        </is>
      </c>
      <c r="R199" s="4" t="inlineStr"/>
      <c r="S199" s="4" t="inlineStr">
        <is>
          <t>Contingency-inclusive probabilistic estimate.</t>
        </is>
      </c>
    </row>
    <row r="200">
      <c r="A200" s="4" t="inlineStr">
        <is>
          <t>Project Marinus</t>
        </is>
      </c>
      <c r="B200" s="4" t="inlineStr">
        <is>
          <t>ML-PROJECT-MARINUS</t>
        </is>
      </c>
      <c r="C200" s="4" t="inlineStr">
        <is>
          <t>ML-AO-2021-PACR-P10</t>
        </is>
      </c>
      <c r="D200" s="4" t="inlineStr">
        <is>
          <t>cost</t>
        </is>
      </c>
      <c r="E200" s="4" t="inlineStr">
        <is>
          <t>2021-06</t>
        </is>
      </c>
      <c r="F200" s="4" t="inlineStr">
        <is>
          <t>PACR P10 estimate</t>
        </is>
      </c>
      <c r="G200" s="4" t="n">
        <v>3138</v>
      </c>
      <c r="H200" s="4" t="inlineStr">
        <is>
          <t>AUD million</t>
        </is>
      </c>
      <c r="I200" s="4" t="inlineStr">
        <is>
          <t>2020 dollars</t>
        </is>
      </c>
      <c r="J200" s="4" t="n"/>
      <c r="K200" s="4" t="inlineStr">
        <is>
          <t>P10</t>
        </is>
      </c>
      <c r="L200" s="4" t="inlineStr">
        <is>
          <t>uncertainty bound</t>
        </is>
      </c>
      <c r="M200" s="4" t="inlineStr">
        <is>
          <t>Preferred 1,500 MW two-stage option</t>
        </is>
      </c>
      <c r="N200" s="4" t="inlineStr">
        <is>
          <t>Part of PACR uncertainty range</t>
        </is>
      </c>
      <c r="O200" s="4" t="inlineStr">
        <is>
          <t>ML-TN-2021-PACR</t>
        </is>
      </c>
      <c r="P200" s="4" t="inlineStr">
        <is>
          <t>85</t>
        </is>
      </c>
      <c r="Q200" s="4" t="inlineStr">
        <is>
          <t>Cost sensitivity P10 Estimate Expected Cost P90 Estimate Total project cost estimate 3,138 3,481 3,827</t>
        </is>
      </c>
      <c r="R200" s="4" t="inlineStr"/>
      <c r="S200" s="4" t="inlineStr">
        <is>
          <t>Source narrative rounds overall range to $3.1bn-$3.8bn. Pinpoint corrected from p77 to the Table 19 page during migration.</t>
        </is>
      </c>
    </row>
    <row r="201">
      <c r="A201" s="4" t="inlineStr">
        <is>
          <t>Project Marinus</t>
        </is>
      </c>
      <c r="B201" s="4" t="inlineStr">
        <is>
          <t>ML-PROJECT-MARINUS</t>
        </is>
      </c>
      <c r="C201" s="4" t="inlineStr">
        <is>
          <t>ML-AO-2021-PACR-P90</t>
        </is>
      </c>
      <c r="D201" s="4" t="inlineStr">
        <is>
          <t>cost</t>
        </is>
      </c>
      <c r="E201" s="4" t="inlineStr">
        <is>
          <t>2021-06</t>
        </is>
      </c>
      <c r="F201" s="4" t="inlineStr">
        <is>
          <t>PACR P90 estimate</t>
        </is>
      </c>
      <c r="G201" s="4" t="n">
        <v>3827</v>
      </c>
      <c r="H201" s="4" t="inlineStr">
        <is>
          <t>AUD million</t>
        </is>
      </c>
      <c r="I201" s="4" t="inlineStr">
        <is>
          <t>2020 dollars</t>
        </is>
      </c>
      <c r="J201" s="4" t="n"/>
      <c r="K201" s="4" t="inlineStr">
        <is>
          <t>P90</t>
        </is>
      </c>
      <c r="L201" s="4" t="inlineStr">
        <is>
          <t>uncertainty bound</t>
        </is>
      </c>
      <c r="M201" s="4" t="inlineStr">
        <is>
          <t>Preferred 1,500 MW two-stage option</t>
        </is>
      </c>
      <c r="N201" s="4" t="inlineStr">
        <is>
          <t>Part of PACR uncertainty range</t>
        </is>
      </c>
      <c r="O201" s="4" t="inlineStr">
        <is>
          <t>ML-TN-2021-PACR</t>
        </is>
      </c>
      <c r="P201" s="4" t="inlineStr">
        <is>
          <t>85</t>
        </is>
      </c>
      <c r="Q201" s="4" t="inlineStr">
        <is>
          <t>Cost sensitivity P10 Estimate Expected Cost P90 Estimate Total project cost estimate 3,138 3,481 3,827</t>
        </is>
      </c>
      <c r="R201" s="4" t="inlineStr"/>
      <c r="S201" s="4" t="inlineStr">
        <is>
          <t>Source narrative rounds overall range to $3.1bn-$3.8bn. Pinpoint corrected from p77 to the Table 19 page during migration.</t>
        </is>
      </c>
    </row>
    <row r="202">
      <c r="A202" s="4" t="inlineStr">
        <is>
          <t>Project Marinus</t>
        </is>
      </c>
      <c r="B202" s="4" t="inlineStr">
        <is>
          <t>ML-PROJECT-MARINUS</t>
        </is>
      </c>
      <c r="C202" s="4" t="inlineStr">
        <is>
          <t>ML-AO-2024-STAGE1-TOTAL</t>
        </is>
      </c>
      <c r="D202" s="4" t="inlineStr">
        <is>
          <t>cost</t>
        </is>
      </c>
      <c r="E202" s="4" t="inlineStr">
        <is>
          <t>2024-06</t>
        </is>
      </c>
      <c r="F202" s="4" t="inlineStr">
        <is>
          <t>AEMO Stage 1 total</t>
        </is>
      </c>
      <c r="G202" s="4" t="n">
        <v>3840</v>
      </c>
      <c r="H202" s="4" t="inlineStr">
        <is>
          <t>AUD million</t>
        </is>
      </c>
      <c r="I202" s="4" t="n"/>
      <c r="J202" s="4" t="inlineStr">
        <is>
          <t>Class 4</t>
        </is>
      </c>
      <c r="K202" s="4" t="inlineStr">
        <is>
          <t>HVDC +/-30%; HVAC +30%/-15%</t>
        </is>
      </c>
      <c r="L202" s="4" t="inlineStr">
        <is>
          <t>expected cost / ISP modelling</t>
        </is>
      </c>
      <c r="M202" s="4" t="inlineStr">
        <is>
          <t>Stage 1 HVDC and HVAC scope</t>
        </is>
      </c>
      <c r="N202" s="4" t="inlineStr">
        <is>
          <t>Not like-for-like with 2021 or 2025</t>
        </is>
      </c>
      <c r="O202" s="4" t="inlineStr">
        <is>
          <t>HUM-AEMO-2024-ISP-A5</t>
        </is>
      </c>
      <c r="P202" s="4" t="inlineStr">
        <is>
          <t>37</t>
        </is>
      </c>
      <c r="Q202" s="4" t="inlineStr">
        <is>
          <t>3,840 (Total for Stage 1)</t>
        </is>
      </c>
      <c r="R202" s="4" t="inlineStr"/>
      <c r="S202" s="4" t="inlineStr">
        <is>
          <t>Source-defined stage observation; do not automatically add Stage 2. Dollar year is not stated in the project table.</t>
        </is>
      </c>
    </row>
    <row r="203">
      <c r="A203" s="4" t="inlineStr">
        <is>
          <t>Project Marinus</t>
        </is>
      </c>
      <c r="B203" s="4" t="inlineStr">
        <is>
          <t>ML-PROJECT-MARINUS</t>
        </is>
      </c>
      <c r="C203" s="4" t="inlineStr">
        <is>
          <t>ML-AO-2024-STAGE1-HVDC</t>
        </is>
      </c>
      <c r="D203" s="4" t="inlineStr">
        <is>
          <t>cost</t>
        </is>
      </c>
      <c r="E203" s="4" t="inlineStr">
        <is>
          <t>2024-06</t>
        </is>
      </c>
      <c r="F203" s="4" t="inlineStr">
        <is>
          <t>AEMO Stage 1 HVDC</t>
        </is>
      </c>
      <c r="G203" s="4" t="n">
        <v>2890</v>
      </c>
      <c r="H203" s="4" t="inlineStr">
        <is>
          <t>AUD million</t>
        </is>
      </c>
      <c r="I203" s="4" t="n"/>
      <c r="J203" s="4" t="inlineStr">
        <is>
          <t>Class 4</t>
        </is>
      </c>
      <c r="K203" s="4" t="inlineStr">
        <is>
          <t>+/-30%</t>
        </is>
      </c>
      <c r="L203" s="4" t="inlineStr">
        <is>
          <t>expected cost / Class 4</t>
        </is>
      </c>
      <c r="M203" s="4" t="inlineStr">
        <is>
          <t>Stage 1 HVDC scope</t>
        </is>
      </c>
      <c r="N203" s="4" t="inlineStr">
        <is>
          <t>Line item within 2024 Stage 1</t>
        </is>
      </c>
      <c r="O203" s="4" t="inlineStr">
        <is>
          <t>HUM-AEMO-2024-ISP-A5</t>
        </is>
      </c>
      <c r="P203" s="4" t="inlineStr">
        <is>
          <t>37</t>
        </is>
      </c>
      <c r="Q203" s="4" t="inlineStr">
        <is>
          <t>2,890 (HVDC) Class 4 (±30%)</t>
        </is>
      </c>
      <c r="R203" s="4" t="inlineStr"/>
      <c r="S203" s="4" t="inlineStr">
        <is>
          <t>Marinus Link supplied scope/cost.</t>
        </is>
      </c>
    </row>
    <row r="204">
      <c r="A204" s="4" t="inlineStr">
        <is>
          <t>Project Marinus</t>
        </is>
      </c>
      <c r="B204" s="4" t="inlineStr">
        <is>
          <t>ML-PROJECT-MARINUS</t>
        </is>
      </c>
      <c r="C204" s="4" t="inlineStr">
        <is>
          <t>ML-AO-2024-STAGE1-HVAC</t>
        </is>
      </c>
      <c r="D204" s="4" t="inlineStr">
        <is>
          <t>cost</t>
        </is>
      </c>
      <c r="E204" s="4" t="inlineStr">
        <is>
          <t>2024-06</t>
        </is>
      </c>
      <c r="F204" s="4" t="inlineStr">
        <is>
          <t>AEMO Stage 1 HVAC</t>
        </is>
      </c>
      <c r="G204" s="4" t="n">
        <v>950</v>
      </c>
      <c r="H204" s="4" t="inlineStr">
        <is>
          <t>AUD million</t>
        </is>
      </c>
      <c r="I204" s="4" t="n"/>
      <c r="J204" s="4" t="inlineStr">
        <is>
          <t>Class 4</t>
        </is>
      </c>
      <c r="K204" s="4" t="inlineStr">
        <is>
          <t>+30%/-15%</t>
        </is>
      </c>
      <c r="L204" s="4" t="inlineStr">
        <is>
          <t>expected cost / Class 4</t>
        </is>
      </c>
      <c r="M204" s="4" t="inlineStr">
        <is>
          <t>Stage 1 TasNetworks HVAC scope</t>
        </is>
      </c>
      <c r="N204" s="4" t="inlineStr">
        <is>
          <t>Line item within 2024 Stage 1</t>
        </is>
      </c>
      <c r="O204" s="4" t="inlineStr">
        <is>
          <t>HUM-AEMO-2024-ISP-A5</t>
        </is>
      </c>
      <c r="P204" s="4" t="inlineStr">
        <is>
          <t>37</t>
        </is>
      </c>
      <c r="Q204" s="4" t="inlineStr">
        <is>
          <t>950 (HVAC) Class 4 (+30%,-15%)</t>
        </is>
      </c>
      <c r="R204" s="4" t="inlineStr"/>
      <c r="S204" s="4" t="inlineStr">
        <is>
          <t>TasNetworks supplied scope/cost.</t>
        </is>
      </c>
    </row>
    <row r="205">
      <c r="A205" s="4" t="inlineStr">
        <is>
          <t>Project Marinus</t>
        </is>
      </c>
      <c r="B205" s="4" t="inlineStr">
        <is>
          <t>ML-PROJECT-MARINUS</t>
        </is>
      </c>
      <c r="C205" s="4" t="inlineStr">
        <is>
          <t>ML-AO-2024-STAGE2-TOTAL</t>
        </is>
      </c>
      <c r="D205" s="4" t="inlineStr">
        <is>
          <t>cost</t>
        </is>
      </c>
      <c r="E205" s="4" t="inlineStr">
        <is>
          <t>2024-06</t>
        </is>
      </c>
      <c r="F205" s="4" t="inlineStr">
        <is>
          <t>AEMO Stage 2 total</t>
        </is>
      </c>
      <c r="G205" s="4" t="n">
        <v>2735</v>
      </c>
      <c r="H205" s="4" t="inlineStr">
        <is>
          <t>AUD million</t>
        </is>
      </c>
      <c r="I205" s="4" t="n"/>
      <c r="J205" s="4" t="inlineStr">
        <is>
          <t>Class 4</t>
        </is>
      </c>
      <c r="K205" s="4" t="inlineStr">
        <is>
          <t>HVDC +/-30%; HVAC +30%/-15%</t>
        </is>
      </c>
      <c r="L205" s="4" t="inlineStr">
        <is>
          <t>expected cost / ISP modelling</t>
        </is>
      </c>
      <c r="M205" s="4" t="inlineStr">
        <is>
          <t>Stage 2 HVDC and HVAC scope</t>
        </is>
      </c>
      <c r="N205" s="4" t="inlineStr">
        <is>
          <t>Not like-for-like with 2021 or 2025</t>
        </is>
      </c>
      <c r="O205" s="4" t="inlineStr">
        <is>
          <t>HUM-AEMO-2024-ISP-A5</t>
        </is>
      </c>
      <c r="P205" s="4" t="inlineStr">
        <is>
          <t>37</t>
        </is>
      </c>
      <c r="Q205" s="4" t="inlineStr">
        <is>
          <t>2,735 (Total for Stage 2)</t>
        </is>
      </c>
      <c r="R205" s="4" t="inlineStr"/>
      <c r="S205" s="4" t="inlineStr">
        <is>
          <t>Separate stage; additional $235m if completed more than two years after Stage 1.</t>
        </is>
      </c>
    </row>
    <row r="206">
      <c r="A206" s="4" t="inlineStr">
        <is>
          <t>Project Marinus</t>
        </is>
      </c>
      <c r="B206" s="4" t="inlineStr">
        <is>
          <t>ML-PROJECT-MARINUS</t>
        </is>
      </c>
      <c r="C206" s="4" t="inlineStr">
        <is>
          <t>ML-AO-2024-STAGE2-HVDC</t>
        </is>
      </c>
      <c r="D206" s="4" t="inlineStr">
        <is>
          <t>cost</t>
        </is>
      </c>
      <c r="E206" s="4" t="inlineStr">
        <is>
          <t>2024-06</t>
        </is>
      </c>
      <c r="F206" s="4" t="inlineStr">
        <is>
          <t>AEMO Stage 2 HVDC</t>
        </is>
      </c>
      <c r="G206" s="4" t="n">
        <v>2210</v>
      </c>
      <c r="H206" s="4" t="inlineStr">
        <is>
          <t>AUD million</t>
        </is>
      </c>
      <c r="I206" s="4" t="n"/>
      <c r="J206" s="4" t="inlineStr">
        <is>
          <t>Class 4</t>
        </is>
      </c>
      <c r="K206" s="4" t="inlineStr">
        <is>
          <t>+/-30%</t>
        </is>
      </c>
      <c r="L206" s="4" t="inlineStr">
        <is>
          <t>expected cost / Class 4</t>
        </is>
      </c>
      <c r="M206" s="4" t="inlineStr">
        <is>
          <t>Stage 2 HVDC scope</t>
        </is>
      </c>
      <c r="N206" s="4" t="inlineStr">
        <is>
          <t>Line item within 2024 Stage 2</t>
        </is>
      </c>
      <c r="O206" s="4" t="inlineStr">
        <is>
          <t>HUM-AEMO-2024-ISP-A5</t>
        </is>
      </c>
      <c r="P206" s="4" t="inlineStr">
        <is>
          <t>37</t>
        </is>
      </c>
      <c r="Q206" s="4" t="inlineStr">
        <is>
          <t>2,210 (HVDC) Class 4 (±30%)</t>
        </is>
      </c>
      <c r="R206" s="4" t="inlineStr"/>
      <c r="S206" s="4" t="inlineStr">
        <is>
          <t>Marinus Link supplied scope/cost.</t>
        </is>
      </c>
    </row>
    <row r="207">
      <c r="A207" s="4" t="inlineStr">
        <is>
          <t>Project Marinus</t>
        </is>
      </c>
      <c r="B207" s="4" t="inlineStr">
        <is>
          <t>ML-PROJECT-MARINUS</t>
        </is>
      </c>
      <c r="C207" s="4" t="inlineStr">
        <is>
          <t>ML-AO-2024-STAGE2-HVAC</t>
        </is>
      </c>
      <c r="D207" s="4" t="inlineStr">
        <is>
          <t>cost</t>
        </is>
      </c>
      <c r="E207" s="4" t="inlineStr">
        <is>
          <t>2024-06</t>
        </is>
      </c>
      <c r="F207" s="4" t="inlineStr">
        <is>
          <t>AEMO Stage 2 HVAC</t>
        </is>
      </c>
      <c r="G207" s="4" t="n">
        <v>525</v>
      </c>
      <c r="H207" s="4" t="inlineStr">
        <is>
          <t>AUD million</t>
        </is>
      </c>
      <c r="I207" s="4" t="n"/>
      <c r="J207" s="4" t="inlineStr">
        <is>
          <t>Class 4</t>
        </is>
      </c>
      <c r="K207" s="4" t="inlineStr">
        <is>
          <t>+30%/-15%</t>
        </is>
      </c>
      <c r="L207" s="4" t="inlineStr">
        <is>
          <t>expected cost / Class 4</t>
        </is>
      </c>
      <c r="M207" s="4" t="inlineStr">
        <is>
          <t>Stage 2 TasNetworks HVAC scope</t>
        </is>
      </c>
      <c r="N207" s="4" t="inlineStr">
        <is>
          <t>Line item within 2024 Stage 2</t>
        </is>
      </c>
      <c r="O207" s="4" t="inlineStr">
        <is>
          <t>HUM-AEMO-2024-ISP-A5</t>
        </is>
      </c>
      <c r="P207" s="4" t="inlineStr">
        <is>
          <t>37</t>
        </is>
      </c>
      <c r="Q207" s="4" t="inlineStr">
        <is>
          <t>525 (HVAC) Class 4 (+30%,-15%)</t>
        </is>
      </c>
      <c r="R207" s="4" t="inlineStr"/>
      <c r="S207" s="4" t="inlineStr">
        <is>
          <t>TasNetworks supplied scope/cost.</t>
        </is>
      </c>
    </row>
    <row r="208">
      <c r="A208" s="4" t="inlineStr">
        <is>
          <t>Project Marinus</t>
        </is>
      </c>
      <c r="B208" s="4" t="inlineStr">
        <is>
          <t>ML-PROJECT-MARINUS</t>
        </is>
      </c>
      <c r="C208" s="4" t="inlineStr">
        <is>
          <t>ML-AO-2024-STAGE2-DELAY</t>
        </is>
      </c>
      <c r="D208" s="4" t="inlineStr">
        <is>
          <t>cost</t>
        </is>
      </c>
      <c r="E208" s="4" t="inlineStr">
        <is>
          <t>2024-06</t>
        </is>
      </c>
      <c r="F208" s="4" t="inlineStr">
        <is>
          <t>Stage 2 delay increment</t>
        </is>
      </c>
      <c r="G208" s="4" t="n">
        <v>235</v>
      </c>
      <c r="H208" s="4" t="inlineStr">
        <is>
          <t>AUD million</t>
        </is>
      </c>
      <c r="I208" s="4" t="n"/>
      <c r="J208" s="4" t="n"/>
      <c r="K208" s="4" t="inlineStr">
        <is>
          <t>Conditional on timing</t>
        </is>
      </c>
      <c r="L208" s="4" t="inlineStr">
        <is>
          <t>conditional increment</t>
        </is>
      </c>
      <c r="M208" s="4" t="inlineStr">
        <is>
          <t>Additional Stage 2 cost if completion is &gt;2 years after Stage 1</t>
        </is>
      </c>
      <c r="N208" s="4" t="inlineStr">
        <is>
          <t>Do not treat as automatic base cost</t>
        </is>
      </c>
      <c r="O208" s="4" t="inlineStr">
        <is>
          <t>HUM-AEMO-2024-ISP-A5</t>
        </is>
      </c>
      <c r="P208" s="4" t="inlineStr">
        <is>
          <t>37</t>
        </is>
      </c>
      <c r="Q208" s="4" t="inlineStr">
        <is>
          <t>Note: This part is estimated to cost an additional $235 million if completed more than 2 years after Stage 1.</t>
        </is>
      </c>
      <c r="R208" s="4" t="inlineStr"/>
      <c r="S208" s="4" t="inlineStr">
        <is>
          <t>Source-stated conditional amount.</t>
        </is>
      </c>
    </row>
    <row r="209">
      <c r="A209" s="4" t="inlineStr">
        <is>
          <t>Project Marinus</t>
        </is>
      </c>
      <c r="B209" s="4" t="inlineStr">
        <is>
          <t>ML-PROJECT-MARINUS</t>
        </is>
      </c>
      <c r="C209" s="4" t="inlineStr">
        <is>
          <t>ML-AO-2025-STAGE1</t>
        </is>
      </c>
      <c r="D209" s="4" t="inlineStr">
        <is>
          <t>cost</t>
        </is>
      </c>
      <c r="E209" s="4" t="inlineStr">
        <is>
          <t>2025-07</t>
        </is>
      </c>
      <c r="F209" s="4" t="inlineStr">
        <is>
          <t>Project Marinus Stage 1</t>
        </is>
      </c>
      <c r="G209" s="4" t="n">
        <v>5035</v>
      </c>
      <c r="H209" s="4" t="inlineStr">
        <is>
          <t>AUD million</t>
        </is>
      </c>
      <c r="I209" s="4" t="inlineStr">
        <is>
          <t>June 2023 prices</t>
        </is>
      </c>
      <c r="J209" s="4" t="n"/>
      <c r="K209" s="4" t="inlineStr">
        <is>
          <t>Not stated in summary value</t>
        </is>
      </c>
      <c r="L209" s="4" t="inlineStr">
        <is>
          <t>modelled RIT-T total cost</t>
        </is>
      </c>
      <c r="M209" s="4" t="inlineStr">
        <is>
          <t>Stage 1 including facilitation for Stage 2; Project Marinus, excluding separately stated NWTD</t>
        </is>
      </c>
      <c r="N209" s="4" t="inlineStr">
        <is>
          <t>Not like-for-like with AEMO 2024</t>
        </is>
      </c>
      <c r="O209" s="4" t="inlineStr">
        <is>
          <t>ML-TN-2025-RITT</t>
        </is>
      </c>
      <c r="P209" s="4" t="inlineStr">
        <is>
          <t>18</t>
        </is>
      </c>
      <c r="Q209" s="4" t="inlineStr">
        <is>
          <t>The costs for Project Marinus are $5,035 million for the first stage (which includes facilitation for stage 2), and $2,535 million for completion of the second stage.</t>
        </is>
      </c>
      <c r="R209" s="4" t="inlineStr"/>
      <c r="S209" s="4" t="inlineStr">
        <is>
          <t>Approximately $534m sunk costs excluded from net-benefit calculation. Pinpoint corrected from pp15-16 during migration.</t>
        </is>
      </c>
    </row>
    <row r="210">
      <c r="A210" s="4" t="inlineStr">
        <is>
          <t>Project Marinus</t>
        </is>
      </c>
      <c r="B210" s="4" t="inlineStr">
        <is>
          <t>ML-PROJECT-MARINUS</t>
        </is>
      </c>
      <c r="C210" s="4" t="inlineStr">
        <is>
          <t>ML-AO-2025-STAGE2</t>
        </is>
      </c>
      <c r="D210" s="4" t="inlineStr">
        <is>
          <t>cost</t>
        </is>
      </c>
      <c r="E210" s="4" t="inlineStr">
        <is>
          <t>2025-07</t>
        </is>
      </c>
      <c r="F210" s="4" t="inlineStr">
        <is>
          <t>Project Marinus Stage 2 completion</t>
        </is>
      </c>
      <c r="G210" s="4" t="n">
        <v>2535</v>
      </c>
      <c r="H210" s="4" t="inlineStr">
        <is>
          <t>AUD million</t>
        </is>
      </c>
      <c r="I210" s="4" t="inlineStr">
        <is>
          <t>June 2023 prices</t>
        </is>
      </c>
      <c r="J210" s="4" t="n"/>
      <c r="K210" s="4" t="inlineStr">
        <is>
          <t>Not stated in summary value</t>
        </is>
      </c>
      <c r="L210" s="4" t="inlineStr">
        <is>
          <t>modelled RIT-T total cost</t>
        </is>
      </c>
      <c r="M210" s="4" t="inlineStr">
        <is>
          <t>Completion of Stage 2; Project Marinus, excluding separately stated NWTD</t>
        </is>
      </c>
      <c r="N210" s="4" t="inlineStr">
        <is>
          <t>Not like-for-like with AEMO 2024</t>
        </is>
      </c>
      <c r="O210" s="4" t="inlineStr">
        <is>
          <t>ML-TN-2025-RITT</t>
        </is>
      </c>
      <c r="P210" s="4" t="inlineStr">
        <is>
          <t>18</t>
        </is>
      </c>
      <c r="Q210" s="4" t="inlineStr">
        <is>
          <t>$2,535 million for completion of the second stage.</t>
        </is>
      </c>
      <c r="R210" s="4" t="inlineStr"/>
      <c r="S210" s="4" t="inlineStr">
        <is>
          <t>Stage 2 timing remains under review. Pinpoint corrected from pp15-16 during migration.</t>
        </is>
      </c>
    </row>
    <row r="211">
      <c r="A211" s="4" t="inlineStr">
        <is>
          <t>Project Marinus</t>
        </is>
      </c>
      <c r="B211" s="4" t="inlineStr">
        <is>
          <t>ML-PROJECT-MARINUS</t>
        </is>
      </c>
      <c r="C211" s="4" t="inlineStr">
        <is>
          <t>ML-AO-2025-NWTD-STAGE1</t>
        </is>
      </c>
      <c r="D211" s="4" t="inlineStr">
        <is>
          <t>cost</t>
        </is>
      </c>
      <c r="E211" s="4" t="inlineStr">
        <is>
          <t>2025-07</t>
        </is>
      </c>
      <c r="F211" s="4" t="inlineStr">
        <is>
          <t>NWTD Stage 1</t>
        </is>
      </c>
      <c r="G211" s="4" t="n">
        <v>1144</v>
      </c>
      <c r="H211" s="4" t="inlineStr">
        <is>
          <t>AUD million</t>
        </is>
      </c>
      <c r="I211" s="4" t="inlineStr">
        <is>
          <t>June 2023 prices</t>
        </is>
      </c>
      <c r="J211" s="4" t="n"/>
      <c r="K211" s="4" t="inlineStr">
        <is>
          <t>Not stated</t>
        </is>
      </c>
      <c r="L211" s="4" t="inlineStr">
        <is>
          <t>modelled RIT-T total cost</t>
        </is>
      </c>
      <c r="M211" s="4" t="inlineStr">
        <is>
          <t>TasNetworks NWTD component only</t>
        </is>
      </c>
      <c r="N211" s="4" t="inlineStr">
        <is>
          <t>Separate delivery/funding boundary</t>
        </is>
      </c>
      <c r="O211" s="4" t="inlineStr">
        <is>
          <t>ML-TN-2025-RITT</t>
        </is>
      </c>
      <c r="P211" s="4" t="inlineStr">
        <is>
          <t>18</t>
        </is>
      </c>
      <c r="Q211" s="4" t="inlineStr">
        <is>
          <t>The NWTD component is $1,144 million for the first stage, and $525 million for the second stage.</t>
        </is>
      </c>
      <c r="R211" s="4" t="inlineStr"/>
      <c r="S211" s="4" t="inlineStr">
        <is>
          <t>Do not silently add to Project Marinus amount. Pinpoint corrected from p16 during migration.</t>
        </is>
      </c>
    </row>
    <row r="212">
      <c r="A212" s="4" t="inlineStr">
        <is>
          <t>Project Marinus</t>
        </is>
      </c>
      <c r="B212" s="4" t="inlineStr">
        <is>
          <t>ML-PROJECT-MARINUS</t>
        </is>
      </c>
      <c r="C212" s="4" t="inlineStr">
        <is>
          <t>ML-AO-2025-NWTD-STAGE2</t>
        </is>
      </c>
      <c r="D212" s="4" t="inlineStr">
        <is>
          <t>cost</t>
        </is>
      </c>
      <c r="E212" s="4" t="inlineStr">
        <is>
          <t>2025-07</t>
        </is>
      </c>
      <c r="F212" s="4" t="inlineStr">
        <is>
          <t>NWTD Stage 2</t>
        </is>
      </c>
      <c r="G212" s="4" t="n">
        <v>525</v>
      </c>
      <c r="H212" s="4" t="inlineStr">
        <is>
          <t>AUD million</t>
        </is>
      </c>
      <c r="I212" s="4" t="inlineStr">
        <is>
          <t>June 2023 prices</t>
        </is>
      </c>
      <c r="J212" s="4" t="n"/>
      <c r="K212" s="4" t="inlineStr">
        <is>
          <t>Not stated</t>
        </is>
      </c>
      <c r="L212" s="4" t="inlineStr">
        <is>
          <t>modelled RIT-T total cost</t>
        </is>
      </c>
      <c r="M212" s="4" t="inlineStr">
        <is>
          <t>TasNetworks NWTD component only</t>
        </is>
      </c>
      <c r="N212" s="4" t="inlineStr">
        <is>
          <t>Separate delivery/funding boundary</t>
        </is>
      </c>
      <c r="O212" s="4" t="inlineStr">
        <is>
          <t>ML-TN-2025-RITT</t>
        </is>
      </c>
      <c r="P212" s="4" t="inlineStr">
        <is>
          <t>18</t>
        </is>
      </c>
      <c r="Q212" s="4" t="inlineStr">
        <is>
          <t>$525 million for the second stage.</t>
        </is>
      </c>
      <c r="R212" s="4" t="inlineStr"/>
      <c r="S212" s="4" t="inlineStr">
        <is>
          <t>Do not silently add to Project Marinus amount. Pinpoint corrected from p16 during migration.</t>
        </is>
      </c>
    </row>
    <row r="213">
      <c r="A213" s="4" t="inlineStr">
        <is>
          <t>Project Marinus</t>
        </is>
      </c>
      <c r="B213" s="4" t="inlineStr">
        <is>
          <t>ML-PROJECT-MARINUS</t>
        </is>
      </c>
      <c r="C213" s="4" t="inlineStr">
        <is>
          <t>ML-AO-2026-FL-TOTAL</t>
        </is>
      </c>
      <c r="D213" s="4" t="inlineStr">
        <is>
          <t>cost</t>
        </is>
      </c>
      <c r="E213" s="4" t="inlineStr">
        <is>
          <t>2026-06</t>
        </is>
      </c>
      <c r="F213" s="4" t="inlineStr">
        <is>
          <t>AEMO feedback-loop context total</t>
        </is>
      </c>
      <c r="G213" s="4" t="n">
        <v>7570</v>
      </c>
      <c r="H213" s="4" t="inlineStr">
        <is>
          <t>AUD million</t>
        </is>
      </c>
      <c r="I213" s="4" t="inlineStr">
        <is>
          <t>2023 dollars</t>
        </is>
      </c>
      <c r="J213" s="4" t="n"/>
      <c r="K213" s="4" t="inlineStr">
        <is>
          <t>Stage 2 Class 4 +/-30%</t>
        </is>
      </c>
      <c r="L213" s="4" t="inlineStr">
        <is>
          <t>reported total / feedback-loop context</t>
        </is>
      </c>
      <c r="M213" s="4" t="inlineStr">
        <is>
          <t>Project Marinus Stage 1 plus Stage 2, as reported in feedback-loop context</t>
        </is>
      </c>
      <c r="N213" s="4" t="inlineStr">
        <is>
          <t>Source-defined total; not construction outturn</t>
        </is>
      </c>
      <c r="O213" s="4" t="inlineStr">
        <is>
          <t>HUM-AEMO-2026-ISP-A5</t>
        </is>
      </c>
      <c r="P213" s="4" t="inlineStr">
        <is>
          <t>59</t>
        </is>
      </c>
      <c r="Q213" s="4" t="inlineStr">
        <is>
          <t>the total cost (in $2023) of the project ($7,570 million), including Stage 1 ($5,035 million) and Stage 2 ($2,535 million)</t>
        </is>
      </c>
      <c r="R213" s="4" t="inlineStr">
        <is>
          <t>selected</t>
        </is>
      </c>
      <c r="S213" s="4" t="inlineStr">
        <is>
          <t>Source states Stage 1 $5,035m plus Stage 2 $2,535m.</t>
        </is>
      </c>
    </row>
    <row r="214">
      <c r="A214" s="4" t="inlineStr">
        <is>
          <t>Project Marinus</t>
        </is>
      </c>
      <c r="B214" s="4" t="inlineStr">
        <is>
          <t>ML-PROJECT-MARINUS</t>
        </is>
      </c>
      <c r="C214" s="4" t="inlineStr">
        <is>
          <t>ML-AO-2026-STAGE2-2A</t>
        </is>
      </c>
      <c r="D214" s="4" t="inlineStr">
        <is>
          <t>cost</t>
        </is>
      </c>
      <c r="E214" s="4" t="inlineStr">
        <is>
          <t>2026-06</t>
        </is>
      </c>
      <c r="F214" s="4" t="inlineStr">
        <is>
          <t>AEMO Stage 2 option 2A</t>
        </is>
      </c>
      <c r="G214" s="4" t="n">
        <v>2485</v>
      </c>
      <c r="H214" s="4" t="inlineStr">
        <is>
          <t>AUD million</t>
        </is>
      </c>
      <c r="I214" s="4" t="inlineStr">
        <is>
          <t>2025 dollars</t>
        </is>
      </c>
      <c r="J214" s="4" t="inlineStr">
        <is>
          <t>Class 4</t>
        </is>
      </c>
      <c r="K214" s="4" t="inlineStr">
        <is>
          <t>+/-30%</t>
        </is>
      </c>
      <c r="L214" s="4" t="inlineStr">
        <is>
          <t>expected cost / actionable ISP option</t>
        </is>
      </c>
      <c r="M214" s="4" t="inlineStr">
        <is>
          <t>Stage 2 option 2A after Burnie-Hampshire scope transfer</t>
        </is>
      </c>
      <c r="N214" s="4" t="inlineStr">
        <is>
          <t>Different price and scope basis from $2,535m</t>
        </is>
      </c>
      <c r="O214" s="4" t="inlineStr">
        <is>
          <t>HUM-AEMO-2026-ISP-A5</t>
        </is>
      </c>
      <c r="P214" s="4" t="inlineStr">
        <is>
          <t>59</t>
        </is>
      </c>
      <c r="Q214" s="4" t="inlineStr">
        <is>
          <t>The reported cost of $2,485 million (in $2025) represents the total cost of TAS-SEV Option 2A, escalated from the $2023 cost of $2,351 million</t>
        </is>
      </c>
      <c r="R214" s="4" t="inlineStr"/>
      <c r="S214" s="4" t="inlineStr">
        <is>
          <t>Escalated from $2,351m in 2023 dollars; $184m Burnie-Hampshire removed; $51m incurred/approved works noted separately.</t>
        </is>
      </c>
    </row>
    <row r="215">
      <c r="A215" s="4" t="inlineStr">
        <is>
          <t>Project Marinus</t>
        </is>
      </c>
      <c r="B215" s="4" t="inlineStr">
        <is>
          <t>ML-PROJECT-MARINUS</t>
        </is>
      </c>
      <c r="C215" s="4" t="inlineStr">
        <is>
          <t>ML-AO-2021-CAPACITY-PREFERRED</t>
        </is>
      </c>
      <c r="D215" s="4" t="inlineStr">
        <is>
          <t>capacity</t>
        </is>
      </c>
      <c r="E215" s="4" t="inlineStr">
        <is>
          <t>2021-06</t>
        </is>
      </c>
      <c r="F215" s="4" t="inlineStr">
        <is>
          <t>PACR preferred option capacity</t>
        </is>
      </c>
      <c r="G215" s="4" t="n">
        <v>1500</v>
      </c>
      <c r="H215" s="4" t="inlineStr">
        <is>
          <t>MW</t>
        </is>
      </c>
      <c r="I215" s="4" t="n"/>
      <c r="J215" s="4" t="n"/>
      <c r="K215" s="4" t="n"/>
      <c r="L215" s="4" t="inlineStr">
        <is>
          <t>RIT-T preferred option</t>
        </is>
      </c>
      <c r="M215" s="4" t="inlineStr">
        <is>
          <t>Whole Project Marinus interconnector, both stages</t>
        </is>
      </c>
      <c r="N215" s="4" t="inlineStr">
        <is>
          <t>Nameplate interconnector capacity, not a transfer limit</t>
        </is>
      </c>
      <c r="O215" s="4" t="inlineStr">
        <is>
          <t>ML-TN-2021-PACR</t>
        </is>
      </c>
      <c r="P215" s="4" t="inlineStr">
        <is>
          <t>77</t>
        </is>
      </c>
      <c r="Q215" s="4" t="inlineStr">
        <is>
          <t>the preferred option is a 1500 MW HVDC interconnector, comprising two 750 MW HVDC links, plus associated AC network upgrades.</t>
        </is>
      </c>
      <c r="R215" s="4" t="inlineStr"/>
      <c r="S215" s="4" t="inlineStr">
        <is>
          <t>Earliest archived statement of the 1,500 MW configuration.</t>
        </is>
      </c>
    </row>
    <row r="216">
      <c r="A216" s="4" t="inlineStr">
        <is>
          <t>Project Marinus</t>
        </is>
      </c>
      <c r="B216" s="4" t="inlineStr">
        <is>
          <t>ML-PROJECT-MARINUS</t>
        </is>
      </c>
      <c r="C216" s="4" t="inlineStr">
        <is>
          <t>ML-AO-2025-LENGTH-SUBSEA</t>
        </is>
      </c>
      <c r="D216" s="4" t="inlineStr">
        <is>
          <t>trunk_km</t>
        </is>
      </c>
      <c r="E216" s="4" t="inlineStr">
        <is>
          <t>2025-07</t>
        </is>
      </c>
      <c r="F216" s="4" t="inlineStr">
        <is>
          <t>Undersea HVDC cable length</t>
        </is>
      </c>
      <c r="G216" s="4" t="n">
        <v>255</v>
      </c>
      <c r="H216" s="4" t="inlineStr">
        <is>
          <t>km</t>
        </is>
      </c>
      <c r="I216" s="4" t="n"/>
      <c r="J216" s="4" t="n"/>
      <c r="K216" s="4" t="inlineStr">
        <is>
          <t>Stated as approximate</t>
        </is>
      </c>
      <c r="L216" s="4" t="inlineStr">
        <is>
          <t>proponent description</t>
        </is>
      </c>
      <c r="M216" s="4" t="inlineStr">
        <is>
          <t>Marinus Link undersea HVDC cable only; excludes underground cable and all NWTD HVAC works</t>
        </is>
      </c>
      <c r="N216" s="4" t="inlineStr">
        <is>
          <t>Not a 500 kV trunk length; HVDC cable under the chart's trunk definition is a boundary mismatch</t>
        </is>
      </c>
      <c r="O216" s="4" t="inlineStr">
        <is>
          <t>ML-TN-2025-RITT</t>
        </is>
      </c>
      <c r="P216" s="4" t="inlineStr">
        <is>
          <t>6</t>
        </is>
      </c>
      <c r="Q216" s="4" t="inlineStr">
        <is>
          <t>Marinus Link involves approximately 255 kilometres of undersea High Voltage Direct Current (HVDC) cable</t>
        </is>
      </c>
      <c r="R216" s="4" t="inlineStr">
        <is>
          <t>selected</t>
        </is>
      </c>
      <c r="S216" s="4" t="inlineStr">
        <is>
          <t>One of the two length components the chart's 345 km sums.</t>
        </is>
      </c>
    </row>
    <row r="217">
      <c r="A217" s="4" t="inlineStr">
        <is>
          <t>Project Marinus</t>
        </is>
      </c>
      <c r="B217" s="4" t="inlineStr">
        <is>
          <t>ML-PROJECT-MARINUS</t>
        </is>
      </c>
      <c r="C217" s="4" t="inlineStr">
        <is>
          <t>ML-AO-2025-LENGTH-UNDERGROUND</t>
        </is>
      </c>
      <c r="D217" s="4" t="inlineStr">
        <is>
          <t>trunk_km</t>
        </is>
      </c>
      <c r="E217" s="4" t="inlineStr">
        <is>
          <t>2025-07</t>
        </is>
      </c>
      <c r="F217" s="4" t="inlineStr">
        <is>
          <t>Underground HVDC cable length in Victoria</t>
        </is>
      </c>
      <c r="G217" s="4" t="n">
        <v>90</v>
      </c>
      <c r="H217" s="4" t="inlineStr">
        <is>
          <t>km</t>
        </is>
      </c>
      <c r="I217" s="4" t="n"/>
      <c r="J217" s="4" t="n"/>
      <c r="K217" s="4" t="inlineStr">
        <is>
          <t>Stated as approximate</t>
        </is>
      </c>
      <c r="L217" s="4" t="inlineStr">
        <is>
          <t>proponent description</t>
        </is>
      </c>
      <c r="M217" s="4" t="inlineStr">
        <is>
          <t>Marinus Link underground HVDC cable in Victoria only</t>
        </is>
      </c>
      <c r="N217" s="4" t="inlineStr">
        <is>
          <t>Not a 500 kV trunk length; HVDC cable under the chart's trunk definition is a boundary mismatch</t>
        </is>
      </c>
      <c r="O217" s="4" t="inlineStr">
        <is>
          <t>ML-TN-2025-RITT</t>
        </is>
      </c>
      <c r="P217" s="4" t="inlineStr">
        <is>
          <t>6</t>
        </is>
      </c>
      <c r="Q217" s="4" t="inlineStr">
        <is>
          <t>approximately 90 kilometres of underground HVDC cable in Victoria</t>
        </is>
      </c>
      <c r="R217" s="4" t="inlineStr"/>
      <c r="S217" s="4" t="inlineStr">
        <is>
          <t>One of the two length components the chart's 345 km sums.</t>
        </is>
      </c>
    </row>
    <row r="218">
      <c r="A218" s="4" t="inlineStr">
        <is>
          <t>Project Marinus</t>
        </is>
      </c>
      <c r="B218" s="4" t="inlineStr">
        <is>
          <t>ML-PROJECT-MARINUS</t>
        </is>
      </c>
      <c r="C218" s="4" t="inlineStr">
        <is>
          <t>ML-AO-2026-CAPACITY-TOTAL</t>
        </is>
      </c>
      <c r="D218" s="4" t="inlineStr">
        <is>
          <t>capacity</t>
        </is>
      </c>
      <c r="E218" s="4" t="inlineStr">
        <is>
          <t>2026-06</t>
        </is>
      </c>
      <c r="F218" s="4" t="inlineStr">
        <is>
          <t>AEMO 2026 ISP interconnector capacity</t>
        </is>
      </c>
      <c r="G218" s="4" t="n">
        <v>1500</v>
      </c>
      <c r="H218" s="4" t="inlineStr">
        <is>
          <t>MW</t>
        </is>
      </c>
      <c r="I218" s="4" t="n"/>
      <c r="J218" s="4" t="n"/>
      <c r="K218" s="4" t="n"/>
      <c r="L218" s="4" t="inlineStr">
        <is>
          <t>planner description</t>
        </is>
      </c>
      <c r="M218" s="4" t="inlineStr">
        <is>
          <t>Whole Marinus Link interconnector, Stage 1 plus Stage 2</t>
        </is>
      </c>
      <c r="N218" s="4" t="inlineStr">
        <is>
          <t>Nameplate capacity; the combined transfer limit with Basslink is stated separately as 1,728 MW and 2,094 MW</t>
        </is>
      </c>
      <c r="O218" s="4" t="inlineStr">
        <is>
          <t>HUM-AEMO-2026-ISP-A5</t>
        </is>
      </c>
      <c r="P218" s="4" t="inlineStr">
        <is>
          <t>26</t>
        </is>
      </c>
      <c r="Q218" s="4" t="inlineStr">
        <is>
          <t>Marinus Link is a proposed 1,500 MW capacity undersea and underground electricity interconnection between Tasmania and Victoria</t>
        </is>
      </c>
      <c r="R218" s="4" t="inlineStr">
        <is>
          <t>selected</t>
        </is>
      </c>
      <c r="S218" s="4" t="inlineStr">
        <is>
          <t>Contradicts the chart's 1.4 GW cell.</t>
        </is>
      </c>
    </row>
    <row r="219">
      <c r="A219" s="4" t="inlineStr">
        <is>
          <t>Project Marinus</t>
        </is>
      </c>
      <c r="B219" s="4" t="inlineStr">
        <is>
          <t>ML-PROJECT-MARINUS</t>
        </is>
      </c>
      <c r="C219" s="4" t="inlineStr">
        <is>
          <t>ML-AO-2026-CAPACITY-STAGE1</t>
        </is>
      </c>
      <c r="D219" s="4" t="inlineStr">
        <is>
          <t>capacity</t>
        </is>
      </c>
      <c r="E219" s="4" t="inlineStr">
        <is>
          <t>2026-06</t>
        </is>
      </c>
      <c r="F219" s="4" t="inlineStr">
        <is>
          <t>Stage 1 HVDC link capacity</t>
        </is>
      </c>
      <c r="G219" s="4" t="n">
        <v>750</v>
      </c>
      <c r="H219" s="4" t="inlineStr">
        <is>
          <t>MW</t>
        </is>
      </c>
      <c r="I219" s="4" t="n"/>
      <c r="J219" s="4" t="n"/>
      <c r="K219" s="4" t="n"/>
      <c r="L219" s="4" t="inlineStr">
        <is>
          <t>planner description</t>
        </is>
      </c>
      <c r="M219" s="4" t="inlineStr">
        <is>
          <t>Stage 1 monopole HVDC link only</t>
        </is>
      </c>
      <c r="N219" s="4" t="inlineStr">
        <is>
          <t>Stage observation; do not add to Stage 2 without stating the combined boundary</t>
        </is>
      </c>
      <c r="O219" s="4" t="inlineStr">
        <is>
          <t>HUM-AEMO-2026-ISP-A5</t>
        </is>
      </c>
      <c r="P219" s="4" t="inlineStr">
        <is>
          <t>26</t>
        </is>
      </c>
      <c r="Q219" s="4" t="inlineStr">
        <is>
          <t>A 750 MW monopole HVDC link between Burnie area in Tasmania and Hazelwood area in Victoria.</t>
        </is>
      </c>
      <c r="R219" s="4" t="inlineStr"/>
      <c r="S219" s="4" t="inlineStr"/>
    </row>
    <row r="220">
      <c r="A220" s="4" t="inlineStr">
        <is>
          <t>Project Marinus</t>
        </is>
      </c>
      <c r="B220" s="4" t="inlineStr">
        <is>
          <t>ML-PROJECT-MARINUS</t>
        </is>
      </c>
      <c r="C220" s="4" t="inlineStr">
        <is>
          <t>ML-AO-2026-CAPACITY-STAGE2</t>
        </is>
      </c>
      <c r="D220" s="4" t="inlineStr">
        <is>
          <t>capacity</t>
        </is>
      </c>
      <c r="E220" s="4" t="inlineStr">
        <is>
          <t>2026-06</t>
        </is>
      </c>
      <c r="F220" s="4" t="inlineStr">
        <is>
          <t>Stage 2 HVDC link capacity</t>
        </is>
      </c>
      <c r="G220" s="4" t="n">
        <v>750</v>
      </c>
      <c r="H220" s="4" t="inlineStr">
        <is>
          <t>MW</t>
        </is>
      </c>
      <c r="I220" s="4" t="n"/>
      <c r="J220" s="4" t="n"/>
      <c r="K220" s="4" t="n"/>
      <c r="L220" s="4" t="inlineStr">
        <is>
          <t>planner description</t>
        </is>
      </c>
      <c r="M220" s="4" t="inlineStr">
        <is>
          <t>Stage 2 monopole HVDC link only</t>
        </is>
      </c>
      <c r="N220" s="4" t="inlineStr">
        <is>
          <t>Stage observation; do not add to Stage 1 without stating the combined boundary</t>
        </is>
      </c>
      <c r="O220" s="4" t="inlineStr">
        <is>
          <t>HUM-AEMO-2026-ISP-A5</t>
        </is>
      </c>
      <c r="P220" s="4" t="inlineStr">
        <is>
          <t>58</t>
        </is>
      </c>
      <c r="Q220" s="4" t="inlineStr">
        <is>
          <t>Project Marinus Stage 2 comprises the second 750 MW development.</t>
        </is>
      </c>
      <c r="R220" s="4" t="inlineStr"/>
      <c r="S220" s="4" t="inlineStr"/>
    </row>
    <row r="221">
      <c r="A221" s="4" t="inlineStr">
        <is>
          <t>Project Marinus</t>
        </is>
      </c>
      <c r="B221" s="4" t="inlineStr">
        <is>
          <t>ML-PROJECT-MARINUS</t>
        </is>
      </c>
      <c r="C221" s="4" t="inlineStr">
        <is>
          <t>ML-AO-2026-LINKS</t>
        </is>
      </c>
      <c r="D221" s="4" t="inlineStr">
        <is>
          <t>circuits</t>
        </is>
      </c>
      <c r="E221" s="4" t="inlineStr">
        <is>
          <t>2026-06</t>
        </is>
      </c>
      <c r="F221" s="4" t="inlineStr">
        <is>
          <t>HVDC developments delivered</t>
        </is>
      </c>
      <c r="G221" s="4" t="n">
        <v>2</v>
      </c>
      <c r="H221" s="4" t="inlineStr">
        <is>
          <t>count</t>
        </is>
      </c>
      <c r="I221" s="4" t="n"/>
      <c r="J221" s="4" t="n"/>
      <c r="K221" s="4" t="n"/>
      <c r="L221" s="4" t="inlineStr">
        <is>
          <t>planner description</t>
        </is>
      </c>
      <c r="M221" s="4" t="inlineStr">
        <is>
          <t>Two 750 MW HVDC monopole developments; not 500 kV AC circuits and not tower lines</t>
        </is>
      </c>
      <c r="N221" s="4" t="inlineStr">
        <is>
          <t>Supports the chart's circuits and lines counts only under an HVDC-cable reading of those columns</t>
        </is>
      </c>
      <c r="O221" s="4" t="inlineStr">
        <is>
          <t>HUM-AEMO-2026-ISP-A5</t>
        </is>
      </c>
      <c r="P221" s="4" t="inlineStr">
        <is>
          <t>26</t>
        </is>
      </c>
      <c r="Q221" s="4" t="inlineStr">
        <is>
          <t>It is proposed to be delivered as two 750 MW high voltage direct current (HVDC) developments between Burnie area in Tasmania and Latrobe Valley in Victoria.</t>
        </is>
      </c>
      <c r="R221" s="4" t="inlineStr">
        <is>
          <t>selected</t>
        </is>
      </c>
      <c r="S221" s="4" t="inlineStr">
        <is>
          <t>Serves both the circuits and lines chart cells.</t>
        </is>
      </c>
    </row>
    <row r="222">
      <c r="A222" s="4" t="inlineStr">
        <is>
          <t>Project Marinus</t>
        </is>
      </c>
      <c r="B222" s="4" t="inlineStr">
        <is>
          <t>ML-PROJECT-MARINUS</t>
        </is>
      </c>
      <c r="C222" s="4" t="inlineStr">
        <is>
          <t>ML-AO-2026-VOLTAGE-HAZELWOOD</t>
        </is>
      </c>
      <c r="D222" s="4" t="inlineStr">
        <is>
          <t>voltage</t>
        </is>
      </c>
      <c r="E222" s="4" t="inlineStr">
        <is>
          <t>2026-06</t>
        </is>
      </c>
      <c r="F222" s="4" t="inlineStr">
        <is>
          <t>Victorian connection voltage</t>
        </is>
      </c>
      <c r="G222" s="4" t="n">
        <v>500</v>
      </c>
      <c r="H222" s="4" t="inlineStr">
        <is>
          <t>kV</t>
        </is>
      </c>
      <c r="I222" s="4" t="n"/>
      <c r="J222" s="4" t="n"/>
      <c r="K222" s="4" t="n"/>
      <c r="L222" s="4" t="inlineStr">
        <is>
          <t>planner description</t>
        </is>
      </c>
      <c r="M222" s="4" t="inlineStr">
        <is>
          <t>AC connection from the Hazelwood-area converter station only; not the HVDC link voltage</t>
        </is>
      </c>
      <c r="N222" s="4" t="inlineStr">
        <is>
          <t>The only 500 kV element in scope; the interconnector itself is HVDC cable of unstated voltage</t>
        </is>
      </c>
      <c r="O222" s="4" t="inlineStr">
        <is>
          <t>HUM-AEMO-2026-ISP-A5</t>
        </is>
      </c>
      <c r="P222" s="4" t="inlineStr">
        <is>
          <t>27</t>
        </is>
      </c>
      <c r="Q222" s="4" t="inlineStr">
        <is>
          <t>A new 500 kV connection from converter station in Hazelwood area.</t>
        </is>
      </c>
      <c r="R222" s="4" t="inlineStr"/>
      <c r="S222" s="4" t="inlineStr">
        <is>
          <t>Relevant to the chart's definition of trunk km as distance rated at 500 kV.</t>
        </is>
      </c>
    </row>
    <row r="223">
      <c r="A223" s="4" t="inlineStr">
        <is>
          <t>Project Marinus</t>
        </is>
      </c>
      <c r="B223" s="4" t="inlineStr">
        <is>
          <t>ML-PROJECT-MARINUS</t>
        </is>
      </c>
      <c r="C223" s="4" t="inlineStr">
        <is>
          <t>ML-AO-2026-VOLTAGE-TAS</t>
        </is>
      </c>
      <c r="D223" s="4" t="inlineStr">
        <is>
          <t>voltage</t>
        </is>
      </c>
      <c r="E223" s="4" t="inlineStr">
        <is>
          <t>2026-06</t>
        </is>
      </c>
      <c r="F223" s="4" t="inlineStr">
        <is>
          <t>Tasmanian NWTD works voltage</t>
        </is>
      </c>
      <c r="G223" s="4" t="n">
        <v>220</v>
      </c>
      <c r="H223" s="4" t="inlineStr">
        <is>
          <t>kV</t>
        </is>
      </c>
      <c r="I223" s="4" t="n"/>
      <c r="J223" s="4" t="n"/>
      <c r="K223" s="4" t="n"/>
      <c r="L223" s="4" t="inlineStr">
        <is>
          <t>planner description</t>
        </is>
      </c>
      <c r="M223" s="4" t="inlineStr">
        <is>
          <t>TasNetworks NWTD HVAC works in Tasmania</t>
        </is>
      </c>
      <c r="N223" s="4" t="inlineStr">
        <is>
          <t>Separate delivery boundary from Marinus Link</t>
        </is>
      </c>
      <c r="O223" s="4" t="inlineStr">
        <is>
          <t>HUM-AEMO-2026-ISP-A5</t>
        </is>
      </c>
      <c r="P223" s="4" t="inlineStr">
        <is>
          <t>27</t>
        </is>
      </c>
      <c r="Q223" s="4" t="inlineStr">
        <is>
          <t>A new 220 kV switching station at Heybridge adjacent to the converter station.</t>
        </is>
      </c>
      <c r="R223" s="4" t="inlineStr"/>
      <c r="S223" s="4" t="inlineStr">
        <is>
          <t>The NWTD lines are the candidate feeder lines for the chart's feeder column.</t>
        </is>
      </c>
    </row>
    <row r="224">
      <c r="A224" s="4" t="inlineStr">
        <is>
          <t>Project Marinus</t>
        </is>
      </c>
      <c r="B224" s="4" t="inlineStr">
        <is>
          <t>ML-PROJECT-MARINUS</t>
        </is>
      </c>
      <c r="C224" s="4" t="inlineStr">
        <is>
          <t>ML-AO-2026-STAGE1-COMPLETION</t>
        </is>
      </c>
      <c r="D224" s="4" t="inlineStr">
        <is>
          <t>completion</t>
        </is>
      </c>
      <c r="E224" s="4" t="inlineStr">
        <is>
          <t>2026-06</t>
        </is>
      </c>
      <c r="F224" s="4" t="inlineStr">
        <is>
          <t>Stage 1 anticipated timing</t>
        </is>
      </c>
      <c r="G224" s="4" t="inlineStr">
        <is>
          <t>2030-12</t>
        </is>
      </c>
      <c r="H224" s="4" t="inlineStr">
        <is>
          <t>date</t>
        </is>
      </c>
      <c r="I224" s="4" t="n"/>
      <c r="J224" s="4" t="n"/>
      <c r="K224" s="4" t="inlineStr">
        <is>
          <t>Anticipated project status; not an actual completion</t>
        </is>
      </c>
      <c r="L224" s="4" t="inlineStr">
        <is>
          <t>proponent timing reported by AEMO</t>
        </is>
      </c>
      <c r="M224" s="4" t="inlineStr">
        <is>
          <t>Stage 1 full-capacity release</t>
        </is>
      </c>
      <c r="N224" s="4" t="inlineStr">
        <is>
          <t>Not comparable with the 2024 ISP's Stage 2 December 2032 timing</t>
        </is>
      </c>
      <c r="O224" s="4" t="inlineStr">
        <is>
          <t>HUM-AEMO-2026-ISP-A5</t>
        </is>
      </c>
      <c r="P224" s="4" t="inlineStr">
        <is>
          <t>26</t>
        </is>
      </c>
      <c r="Q224" s="4" t="inlineStr">
        <is>
          <t>Anticipated project December 2030</t>
        </is>
      </c>
      <c r="R224" s="4" t="inlineStr"/>
      <c r="S224" s="4" t="inlineStr"/>
    </row>
    <row r="225">
      <c r="A225" s="4" t="inlineStr">
        <is>
          <t>Project Marinus</t>
        </is>
      </c>
      <c r="B225" s="4" t="inlineStr">
        <is>
          <t>ML-PROJECT-MARINUS</t>
        </is>
      </c>
      <c r="C225" s="4" t="inlineStr">
        <is>
          <t>ML-AO-2026-STAGE2-COMPLETION</t>
        </is>
      </c>
      <c r="D225" s="4" t="inlineStr">
        <is>
          <t>completion</t>
        </is>
      </c>
      <c r="E225" s="4" t="inlineStr">
        <is>
          <t>2026-06</t>
        </is>
      </c>
      <c r="F225" s="4" t="inlineStr">
        <is>
          <t>Stage 2 proponent timing</t>
        </is>
      </c>
      <c r="G225" s="4" t="inlineStr">
        <is>
          <t>2034-12</t>
        </is>
      </c>
      <c r="H225" s="4" t="inlineStr">
        <is>
          <t>date</t>
        </is>
      </c>
      <c r="I225" s="4" t="n"/>
      <c r="J225" s="4" t="n"/>
      <c r="K225" s="4" t="inlineStr">
        <is>
          <t>Timing advised by proponent; subject to feedback loop and contingent project process</t>
        </is>
      </c>
      <c r="L225" s="4" t="inlineStr">
        <is>
          <t>proponent timing reported by AEMO</t>
        </is>
      </c>
      <c r="M225" s="4" t="inlineStr">
        <is>
          <t>Stage 2 (TAS-SEV Option 2A)</t>
        </is>
      </c>
      <c r="N225" s="4" t="inlineStr">
        <is>
          <t>The 2024 ISP advised December 2032 for Stage 2; the two timings are separate dated observations</t>
        </is>
      </c>
      <c r="O225" s="4" t="inlineStr">
        <is>
          <t>HUM-AEMO-2026-ISP-A5</t>
        </is>
      </c>
      <c r="P225" s="4" t="inlineStr">
        <is>
          <t>59</t>
        </is>
      </c>
      <c r="Q225" s="4" t="inlineStr">
        <is>
          <t>Timing advised by proponent: December 2034.</t>
        </is>
      </c>
      <c r="R225" s="4" t="inlineStr">
        <is>
          <t>selected</t>
        </is>
      </c>
      <c r="S225" s="4" t="inlineStr">
        <is>
          <t>This is the chart row's date cell.</t>
        </is>
      </c>
    </row>
    <row r="226">
      <c r="A226" s="4" t="inlineStr">
        <is>
          <t>Project Marinus</t>
        </is>
      </c>
      <c r="B226" s="4" t="inlineStr">
        <is>
          <t>ML-PROJECT-MARINUS</t>
        </is>
      </c>
      <c r="C226" s="4" t="inlineStr">
        <is>
          <t>ML-AO-2025-FID-DATE</t>
        </is>
      </c>
      <c r="D226" s="4" t="inlineStr">
        <is>
          <t>other</t>
        </is>
      </c>
      <c r="E226" s="4" t="inlineStr">
        <is>
          <t>2025-09-03</t>
        </is>
      </c>
      <c r="F226" s="4" t="inlineStr">
        <is>
          <t>Marinus Link Stage 1 financial close</t>
        </is>
      </c>
      <c r="G226" s="4" t="inlineStr">
        <is>
          <t>2025-09-03</t>
        </is>
      </c>
      <c r="H226" s="4" t="inlineStr">
        <is>
          <t>date</t>
        </is>
      </c>
      <c r="I226" s="4" t="n"/>
      <c r="J226" s="4" t="n"/>
      <c r="K226" s="4" t="n"/>
      <c r="L226" s="4" t="inlineStr">
        <is>
          <t>reported / joint ministerial media release</t>
        </is>
      </c>
      <c r="M226" s="4" t="inlineStr">
        <is>
          <t>Stage 1 financial close (funding close of the FID), not physical construction completion</t>
        </is>
      </c>
      <c r="N226" s="4" t="inlineStr">
        <is>
          <t>Distinct dated event from the 1 August 2025 FID reported by AEMO; financial close is a later, separate milestone</t>
        </is>
      </c>
      <c r="O226" s="4" t="inlineStr">
        <is>
          <t>ML-DCCEEW-2025-FID</t>
        </is>
      </c>
      <c r="P226" s="4" t="inlineStr">
        <is>
          <t>web</t>
        </is>
      </c>
      <c r="Q226" s="4" t="inlineStr">
        <is>
          <t>Financial close has been reached for Stage 1 of Marinus Link, marking the final decision for one of the most important energy projects in our nation’s history.</t>
        </is>
      </c>
      <c r="R226" s="4" t="inlineStr"/>
      <c r="S226" s="4" t="inlineStr">
        <is>
          <t>Dated by the release's own dateline, 3 September 2025.</t>
        </is>
      </c>
    </row>
    <row r="227">
      <c r="A227" s="4" t="inlineStr">
        <is>
          <t>Project Marinus</t>
        </is>
      </c>
      <c r="B227" s="4" t="inlineStr">
        <is>
          <t>ML-PROJECT-MARINUS</t>
        </is>
      </c>
      <c r="C227" s="4" t="inlineStr">
        <is>
          <t>ML-AO-2025-FID-FUNDING</t>
        </is>
      </c>
      <c r="D227" s="4" t="inlineStr">
        <is>
          <t>cost</t>
        </is>
      </c>
      <c r="E227" s="4" t="inlineStr">
        <is>
          <t>2025-09-03</t>
        </is>
      </c>
      <c r="F227" s="4" t="inlineStr">
        <is>
          <t>CEFC funding secured at Stage 1 financial close</t>
        </is>
      </c>
      <c r="G227" s="4" t="n">
        <v>3800</v>
      </c>
      <c r="H227" s="4" t="inlineStr">
        <is>
          <t>AUD million</t>
        </is>
      </c>
      <c r="I227" s="4" t="n"/>
      <c r="J227" s="4" t="n"/>
      <c r="K227" s="4" t="n"/>
      <c r="L227" s="4" t="inlineStr">
        <is>
          <t>reported / joint ministerial media release</t>
        </is>
      </c>
      <c r="M227" s="4" t="inlineStr">
        <is>
          <t>Stage 1 only; $3.8bn Commonwealth Clean Energy Finance Corporation (CEFC) funding, alongside separately unstated equity commitments from the Commonwealth, Tasmania and Victoria confirmed in August 2025</t>
        </is>
      </c>
      <c r="N227" s="4" t="inlineStr">
        <is>
          <t>Not a total project cost; a CEFC funding/debt figure only, distinct from the RIT-T/ISP modelled cost estimates</t>
        </is>
      </c>
      <c r="O227" s="4" t="inlineStr">
        <is>
          <t>ML-DCCEEW-2025-FID</t>
        </is>
      </c>
      <c r="P227" s="4" t="inlineStr">
        <is>
          <t>web</t>
        </is>
      </c>
      <c r="Q227" s="4" t="inlineStr">
        <is>
          <t>Securing the $3.8bn funding from the Commonwealth's Clean Energy Finance Corporation, along with equity commitments from the Commonwealth, Tasmania and Victoria in August</t>
        </is>
      </c>
      <c r="R227" s="4" t="inlineStr"/>
      <c r="S227" s="4" t="inlineStr">
        <is>
          <t>Dollar year not stated; equity commitment amounts not stated.</t>
        </is>
      </c>
    </row>
    <row r="228">
      <c r="A228" s="4" t="inlineStr">
        <is>
          <t>Project Marinus</t>
        </is>
      </c>
      <c r="B228" s="4" t="inlineStr">
        <is>
          <t>ML-PROJECT-MARINUS</t>
        </is>
      </c>
      <c r="C228" s="4" t="inlineStr">
        <is>
          <t>ML-AO-2025-FID-CAPACITY</t>
        </is>
      </c>
      <c r="D228" s="4" t="inlineStr">
        <is>
          <t>capacity</t>
        </is>
      </c>
      <c r="E228" s="4" t="inlineStr">
        <is>
          <t>2025-09-03</t>
        </is>
      </c>
      <c r="F228" s="4" t="inlineStr">
        <is>
          <t>Stage 1 capacity announced at financial close</t>
        </is>
      </c>
      <c r="G228" s="4" t="n">
        <v>750</v>
      </c>
      <c r="H228" s="4" t="inlineStr">
        <is>
          <t>MW</t>
        </is>
      </c>
      <c r="I228" s="4" t="n"/>
      <c r="J228" s="4" t="n"/>
      <c r="K228" s="4" t="n"/>
      <c r="L228" s="4" t="inlineStr">
        <is>
          <t>reported / joint ministerial media release</t>
        </is>
      </c>
      <c r="M228" s="4" t="inlineStr">
        <is>
          <t>Stage 1 HVDC link only</t>
        </is>
      </c>
      <c r="N228" s="4" t="inlineStr">
        <is>
          <t>Consistent with ML-AO-2026-CAPACITY-STAGE1 (AEMO 2026 ISP); independent confirmation from the proponent-government announcement</t>
        </is>
      </c>
      <c r="O228" s="4" t="inlineStr">
        <is>
          <t>ML-DCCEEW-2025-FID</t>
        </is>
      </c>
      <c r="P228" s="4" t="inlineStr">
        <is>
          <t>web</t>
        </is>
      </c>
      <c r="Q228" s="4" t="inlineStr">
        <is>
          <t>Stage 1 will comprise of 750 megawatts of capacity – enough to power roughly 750,000 homes.</t>
        </is>
      </c>
      <c r="R228" s="4" t="inlineStr"/>
      <c r="S228" s="4" t="inlineStr"/>
    </row>
    <row r="229">
      <c r="A229" s="4" t="inlineStr">
        <is>
          <t>Project Marinus</t>
        </is>
      </c>
      <c r="B229" s="4" t="inlineStr">
        <is>
          <t>ML-PROJECT-MARINUS</t>
        </is>
      </c>
      <c r="C229" s="4" t="inlineStr">
        <is>
          <t>ML-AO-2025-CONTRACT-VALUE</t>
        </is>
      </c>
      <c r="D229" s="4" t="inlineStr">
        <is>
          <t>cost</t>
        </is>
      </c>
      <c r="E229" s="4" t="inlineStr">
        <is>
          <t>2025-12-17</t>
        </is>
      </c>
      <c r="F229" s="4" t="inlineStr">
        <is>
          <t>TasVic Greenlink Stage 1 civils and construction contract</t>
        </is>
      </c>
      <c r="G229" s="4" t="n">
        <v>994</v>
      </c>
      <c r="H229" s="4" t="inlineStr">
        <is>
          <t>AUD million</t>
        </is>
      </c>
      <c r="I229" s="4" t="inlineStr">
        <is>
          <t>nominal</t>
        </is>
      </c>
      <c r="J229" s="4" t="n"/>
      <c r="K229" s="4" t="n"/>
      <c r="L229" s="4" t="inlineStr">
        <is>
          <t>executed contract value</t>
        </is>
      </c>
      <c r="M229" s="4" t="inlineStr">
        <is>
          <t>Stage 1 civils and construction contract with TasVic Greenlink (TVGL, a joint venture of DT Infrastructure and Samsung C&amp;T Corporation): construction of converter stations at Heybridge and Hazelwood, installation of equipment, and land cable civil works spanning approximately 90 km across Gippsland</t>
        </is>
      </c>
      <c r="N229" s="4" t="inlineStr">
        <is>
          <t>A contract price for one Stage 1 works package, not a total project cost or construction outturn; not directly comparable with the RIT-T/ISP modelled cost estimates</t>
        </is>
      </c>
      <c r="O229" s="4" t="inlineStr">
        <is>
          <t>ML-MLPL-2025-CONTRACT</t>
        </is>
      </c>
      <c r="P229" s="4" t="inlineStr">
        <is>
          <t>web</t>
        </is>
      </c>
      <c r="Q229" s="4" t="inlineStr">
        <is>
          <t>The $994 million ($nominal) contract covers the construction of converter stations in Heybridge and Hazelwood, the installation of equipment, and the land cable civil works, spanning 90km across Gippsland.</t>
        </is>
      </c>
      <c r="R229" s="4" t="inlineStr"/>
      <c r="S229" s="4" t="inlineStr">
        <is>
          <t>MLPL's final Stage 1 major works contract; follows the September 2025 announcement of TVGL as preferred bidder for the 'Balance of Works' package.</t>
        </is>
      </c>
    </row>
    <row r="230">
      <c r="A230" s="4" t="inlineStr">
        <is>
          <t>Project Marinus</t>
        </is>
      </c>
      <c r="B230" s="4" t="inlineStr">
        <is>
          <t>ML-PROJECT-MARINUS</t>
        </is>
      </c>
      <c r="C230" s="4" t="inlineStr">
        <is>
          <t>ML-AO-2025-CONTRACT-LENGTH</t>
        </is>
      </c>
      <c r="D230" s="4" t="inlineStr">
        <is>
          <t>trunk_km</t>
        </is>
      </c>
      <c r="E230" s="4" t="inlineStr">
        <is>
          <t>2025-12-17</t>
        </is>
      </c>
      <c r="F230" s="4" t="inlineStr">
        <is>
          <t>TasVic Greenlink contract land cable civil works length</t>
        </is>
      </c>
      <c r="G230" s="4" t="n">
        <v>90</v>
      </c>
      <c r="H230" s="4" t="inlineStr">
        <is>
          <t>km</t>
        </is>
      </c>
      <c r="I230" s="4" t="n"/>
      <c r="J230" s="4" t="n"/>
      <c r="K230" s="4" t="n"/>
      <c r="L230" s="4" t="inlineStr">
        <is>
          <t>executed contract scope</t>
        </is>
      </c>
      <c r="M230" s="4" t="inlineStr">
        <is>
          <t>Land cable civil works under the TasVic Greenlink Stage 1 civils and construction contract, spanning Gippsland, Victoria</t>
        </is>
      </c>
      <c r="N230" s="4" t="inlineStr">
        <is>
          <t>A contract-scope length figure, not the chart's 500 kV trunk definition; consistent with but not necessarily identical to ML-AO-2025-LENGTH-UNDERGROUND (approximately 90 km underground HVDC cable in Victoria, RIT-T update)</t>
        </is>
      </c>
      <c r="O230" s="4" t="inlineStr">
        <is>
          <t>ML-MLPL-2025-CONTRACT</t>
        </is>
      </c>
      <c r="P230" s="4" t="inlineStr">
        <is>
          <t>web</t>
        </is>
      </c>
      <c r="Q230" s="4" t="inlineStr">
        <is>
          <t>the land cable civil works, spanning 90km across Gippsland</t>
        </is>
      </c>
      <c r="R230" s="4" t="inlineStr"/>
      <c r="S230" s="4" t="inlineStr">
        <is>
          <t>Contract land cable civil works boundary; do not merge with the RIT-T length observation without checking scope.</t>
        </is>
      </c>
    </row>
    <row r="231">
      <c r="A231" s="4" t="inlineStr">
        <is>
          <t>New England REZ Network Infrastructure Project</t>
        </is>
      </c>
      <c r="B231" s="4" t="inlineStr">
        <is>
          <t>NER-PROJECT-NIP</t>
        </is>
      </c>
      <c r="C231" s="4" t="inlineStr">
        <is>
          <t>NER-AO-2026-DECL-8GW</t>
        </is>
      </c>
      <c r="D231" s="4" t="inlineStr">
        <is>
          <t>capacity</t>
        </is>
      </c>
      <c r="E231" s="4" t="inlineStr">
        <is>
          <t>2021-12-17</t>
        </is>
      </c>
      <c r="F231" s="4" t="inlineStr">
        <is>
          <t>Declared REZ intended additional network capacity, as reported by AEMO</t>
        </is>
      </c>
      <c r="G231" s="4" t="n">
        <v>8000</v>
      </c>
      <c r="H231" s="4" t="inlineStr">
        <is>
          <t>MW</t>
        </is>
      </c>
      <c r="I231" s="4" t="n"/>
      <c r="J231" s="4" t="n"/>
      <c r="K231" s="4" t="n"/>
      <c r="L231" s="4" t="inlineStr">
        <is>
          <t>statutory declaration intent, reported by the planner</t>
        </is>
      </c>
      <c r="M231" s="4" t="inlineStr">
        <is>
          <t>Declared New England REZ statutory area, not the NIP delivery scope</t>
        </is>
      </c>
      <c r="N231" s="4" t="inlineStr">
        <is>
          <t>Not like-for-like with the NIP's 6,000 MW delivery-scope capacity; an area-wide intent, not a project deliverable</t>
        </is>
      </c>
      <c r="O231" s="4" t="inlineStr">
        <is>
          <t>HUM-AEMO-2026-ISP-A5</t>
        </is>
      </c>
      <c r="P231" s="4" t="inlineStr">
        <is>
          <t>30</t>
        </is>
      </c>
      <c r="Q231" s="4" t="inlineStr">
        <is>
          <t>The New England REZ was declared on 17 December 2021 under the Electricity Infrastructure Investment Act 2020 (NSW) with an intended 8,000 MW50 of</t>
        </is>
      </c>
      <c r="R231" s="4" t="inlineStr"/>
      <c r="S231" s="4" t="inlineStr">
        <is>
          <t>The Gazette 2021 No 643 declaration is now archived directly as NER-NSWGOV-2021-GAZETTE-643; see NER-AO-2021-GAZETTE-8GW for the primary-source statement. This observation records AEMO's own account of it. The trailing 50 is a footnote marker in the source.</t>
        </is>
      </c>
    </row>
    <row r="232">
      <c r="A232" s="4" t="inlineStr">
        <is>
          <t>New England REZ Network Infrastructure Project</t>
        </is>
      </c>
      <c r="B232" s="4" t="inlineStr">
        <is>
          <t>NER-PROJECT-NIP</t>
        </is>
      </c>
      <c r="C232" s="4" t="inlineStr">
        <is>
          <t>NER-AO-2026-CAP-FWD</t>
        </is>
      </c>
      <c r="D232" s="4" t="inlineStr">
        <is>
          <t>capacity</t>
        </is>
      </c>
      <c r="E232" s="4" t="inlineStr">
        <is>
          <t>2026-06</t>
        </is>
      </c>
      <c r="F232" s="4" t="inlineStr">
        <is>
          <t>AEMO 2026 ISP additional network capacity, forward direction</t>
        </is>
      </c>
      <c r="G232" s="4" t="n">
        <v>6000</v>
      </c>
      <c r="H232" s="4" t="inlineStr">
        <is>
          <t>MW</t>
        </is>
      </c>
      <c r="I232" s="4" t="n"/>
      <c r="J232" s="4" t="n"/>
      <c r="K232" s="4" t="n"/>
      <c r="L232" s="4" t="inlineStr">
        <is>
          <t>anticipated project / planner representation</t>
        </is>
      </c>
      <c r="M232" s="4" t="inlineStr">
        <is>
          <t>CNSW-NNSW Option 1 as the whole NIP delivery scope</t>
        </is>
      </c>
      <c r="N232" s="4" t="inlineStr">
        <is>
          <t>Current planner value for the project; not comparable with the 8,000 MW area declaration intent</t>
        </is>
      </c>
      <c r="O232" s="4" t="inlineStr">
        <is>
          <t>HUM-AEMO-2026-ISP-A5</t>
        </is>
      </c>
      <c r="P232" s="4" t="inlineStr">
        <is>
          <t>31</t>
        </is>
      </c>
      <c r="Q232" s="4" t="inlineStr">
        <is>
          <t>Forward: 6,000</t>
        </is>
      </c>
      <c r="R232" s="4" t="inlineStr"/>
      <c r="S232" s="4" t="inlineStr">
        <is>
          <t>Stated in the delivery-scope table for CNSW-NNSW Option 1.</t>
        </is>
      </c>
    </row>
    <row r="233">
      <c r="A233" s="4" t="inlineStr">
        <is>
          <t>New England REZ Network Infrastructure Project</t>
        </is>
      </c>
      <c r="B233" s="4" t="inlineStr">
        <is>
          <t>NER-PROJECT-NIP</t>
        </is>
      </c>
      <c r="C233" s="4" t="inlineStr">
        <is>
          <t>NER-AO-2026-CAP-REV</t>
        </is>
      </c>
      <c r="D233" s="4" t="inlineStr">
        <is>
          <t>capacity</t>
        </is>
      </c>
      <c r="E233" s="4" t="inlineStr">
        <is>
          <t>2026-06</t>
        </is>
      </c>
      <c r="F233" s="4" t="inlineStr">
        <is>
          <t>AEMO 2026 ISP additional network capacity, reverse direction</t>
        </is>
      </c>
      <c r="G233" s="4" t="n">
        <v>6000</v>
      </c>
      <c r="H233" s="4" t="inlineStr">
        <is>
          <t>MW</t>
        </is>
      </c>
      <c r="I233" s="4" t="n"/>
      <c r="J233" s="4" t="n"/>
      <c r="K233" s="4" t="n"/>
      <c r="L233" s="4" t="inlineStr">
        <is>
          <t>anticipated project / planner representation</t>
        </is>
      </c>
      <c r="M233" s="4" t="inlineStr">
        <is>
          <t>CNSW-NNSW Option 1 as the whole NIP delivery scope</t>
        </is>
      </c>
      <c r="N233" s="4" t="inlineStr">
        <is>
          <t>Assumed symmetrical uplift; not additive with the forward figure</t>
        </is>
      </c>
      <c r="O233" s="4" t="inlineStr">
        <is>
          <t>HUM-AEMO-2026-ISP-A5</t>
        </is>
      </c>
      <c r="P233" s="4" t="inlineStr">
        <is>
          <t>31</t>
        </is>
      </c>
      <c r="Q233" s="4" t="inlineStr">
        <is>
          <t>Reverse: 6,00057</t>
        </is>
      </c>
      <c r="R233" s="4" t="inlineStr"/>
      <c r="S233" s="4" t="inlineStr">
        <is>
          <t>AEMO footnote 57 states it assumes a symmetrical uplift in both directions and that reverse capacity depends on the location of future generation. The trailing 57 is a footnote marker.</t>
        </is>
      </c>
    </row>
    <row r="234">
      <c r="A234" s="4" t="inlineStr">
        <is>
          <t>New England REZ Network Infrastructure Project</t>
        </is>
      </c>
      <c r="B234" s="4" t="inlineStr">
        <is>
          <t>NER-PROJECT-NIP</t>
        </is>
      </c>
      <c r="C234" s="4" t="inlineStr">
        <is>
          <t>NER-AO-2026-COST-REPORTED-NULL</t>
        </is>
      </c>
      <c r="D234" s="4" t="inlineStr">
        <is>
          <t>cost</t>
        </is>
      </c>
      <c r="E234" s="4" t="inlineStr">
        <is>
          <t>2026-06</t>
        </is>
      </c>
      <c r="F234" s="4" t="inlineStr">
        <is>
          <t>AEMO 2026 ISP reported cost field for the NIP</t>
        </is>
      </c>
      <c r="G234" s="4" t="n"/>
      <c r="H234" s="4" t="inlineStr">
        <is>
          <t>AUD million</t>
        </is>
      </c>
      <c r="I234" s="4" t="n"/>
      <c r="J234" s="4" t="n"/>
      <c r="K234" s="4" t="n"/>
      <c r="L234" s="4" t="inlineStr">
        <is>
          <t>not stated / field left blank</t>
        </is>
      </c>
      <c r="M234" s="4" t="inlineStr">
        <is>
          <t>CNSW-NNSW Option 1, the whole NIP delivery scope</t>
        </is>
      </c>
      <c r="N234" s="4" t="inlineStr">
        <is>
          <t>No current headline cost exists in the archive for this project; nothing can be compared against it</t>
        </is>
      </c>
      <c r="O234" s="4" t="inlineStr">
        <is>
          <t>HUM-AEMO-2026-ISP-A5</t>
        </is>
      </c>
      <c r="P234" s="4" t="inlineStr">
        <is>
          <t>31</t>
        </is>
      </c>
      <c r="Q234" s="4" t="inlineStr">
        <is>
          <t>Reported cost ($</t>
        </is>
      </c>
      <c r="R234" s="4" t="inlineStr"/>
      <c r="S234" s="4" t="inlineStr">
        <is>
          <t>The delivery-scope table carries a 'Reported cost ($ million)' column but the New England row contains no amount. Footnote 56 states the final scope and cost is subject to the competitive procurement process outcome. Recorded as a null observation; never backfilled from the chart.</t>
        </is>
      </c>
    </row>
    <row r="235">
      <c r="A235" s="4" t="inlineStr">
        <is>
          <t>New England REZ Network Infrastructure Project</t>
        </is>
      </c>
      <c r="B235" s="4" t="inlineStr">
        <is>
          <t>NER-PROJECT-NIP</t>
        </is>
      </c>
      <c r="C235" s="4" t="inlineStr">
        <is>
          <t>NER-AO-2026-COMPLETION</t>
        </is>
      </c>
      <c r="D235" s="4" t="inlineStr">
        <is>
          <t>completion</t>
        </is>
      </c>
      <c r="E235" s="4" t="inlineStr">
        <is>
          <t>2026-06</t>
        </is>
      </c>
      <c r="F235" s="4" t="inlineStr">
        <is>
          <t>AEMO 2026 ISP expected delivery date</t>
        </is>
      </c>
      <c r="G235" s="4" t="inlineStr">
        <is>
          <t>2034-01</t>
        </is>
      </c>
      <c r="H235" s="4" t="inlineStr">
        <is>
          <t>date</t>
        </is>
      </c>
      <c r="I235" s="4" t="n"/>
      <c r="J235" s="4" t="n"/>
      <c r="K235" s="4" t="n"/>
      <c r="L235" s="4" t="inlineStr">
        <is>
          <t>anticipated project / expected delivery</t>
        </is>
      </c>
      <c r="M235" s="4" t="inlineStr">
        <is>
          <t>Whole NIP completed in one part</t>
        </is>
      </c>
      <c r="N235" s="4" t="inlineStr">
        <is>
          <t>Supersedes the 2024 two-part timing without being a like-for-like restatement of it</t>
        </is>
      </c>
      <c r="O235" s="4" t="inlineStr">
        <is>
          <t>HUM-AEMO-2026-ISP-A5</t>
        </is>
      </c>
      <c r="P235" s="4" t="inlineStr">
        <is>
          <t>30</t>
        </is>
      </c>
      <c r="Q235" s="4" t="inlineStr">
        <is>
          <t>It has an expected delivery date of January 203453.</t>
        </is>
      </c>
      <c r="R235" s="4" t="inlineStr">
        <is>
          <t>selected</t>
        </is>
      </c>
      <c r="S235" s="4" t="inlineStr">
        <is>
          <t>The trailing 53 is a footnote marker citing AEMO's Transmission Augmentation Information page, which is unavailable (ENE-TAI-AEMO).</t>
        </is>
      </c>
    </row>
    <row r="236">
      <c r="A236" s="4" t="inlineStr">
        <is>
          <t>New England REZ Network Infrastructure Project</t>
        </is>
      </c>
      <c r="B236" s="4" t="inlineStr">
        <is>
          <t>NER-PROJECT-NIP</t>
        </is>
      </c>
      <c r="C236" s="4" t="inlineStr">
        <is>
          <t>NER-AO-2026-ONE-PART</t>
        </is>
      </c>
      <c r="D236" s="4" t="inlineStr">
        <is>
          <t>other</t>
        </is>
      </c>
      <c r="E236" s="4" t="inlineStr">
        <is>
          <t>2026-06</t>
        </is>
      </c>
      <c r="F236" s="4" t="inlineStr">
        <is>
          <t>Scope consolidation from two parts to one part</t>
        </is>
      </c>
      <c r="G236" s="4" t="inlineStr">
        <is>
          <t>one part (CNSW-NNSW Option 1)</t>
        </is>
      </c>
      <c r="H236" s="4" t="inlineStr">
        <is>
          <t>text</t>
        </is>
      </c>
      <c r="I236" s="4" t="n"/>
      <c r="J236" s="4" t="n"/>
      <c r="K236" s="4" t="n"/>
      <c r="L236" s="4" t="inlineStr">
        <is>
          <t>proponent advice reported by the planner</t>
        </is>
      </c>
      <c r="M236" s="4" t="inlineStr">
        <is>
          <t>Whole NIP</t>
        </is>
      </c>
      <c r="N236" s="4" t="inlineStr">
        <is>
          <t>Explains why the 2024 three-option representation is not carried forward; the 2024 option costs are not a decomposition of the current single-part project</t>
        </is>
      </c>
      <c r="O236" s="4" t="inlineStr">
        <is>
          <t>HUM-AEMO-2026-ISP-A5</t>
        </is>
      </c>
      <c r="P236" s="4" t="inlineStr">
        <is>
          <t>30</t>
        </is>
      </c>
      <c r="Q236" s="4" t="inlineStr">
        <is>
          <t>EnergyCo has advised that this project (previously modelled in two parts) will now be completed in one part (CNSW-NNSW Option 1) by January 203455.</t>
        </is>
      </c>
      <c r="R236" s="4" t="inlineStr"/>
      <c r="S236" s="4" t="inlineStr">
        <is>
          <t>The trailing 55 is a footnote marker.</t>
        </is>
      </c>
    </row>
    <row r="237">
      <c r="A237" s="4" t="inlineStr">
        <is>
          <t>New England REZ Network Infrastructure Project</t>
        </is>
      </c>
      <c r="B237" s="4" t="inlineStr">
        <is>
          <t>NER-PROJECT-NIP</t>
        </is>
      </c>
      <c r="C237" s="4" t="inlineStr">
        <is>
          <t>NER-AO-2026-TRUNK-170</t>
        </is>
      </c>
      <c r="D237" s="4" t="inlineStr">
        <is>
          <t>trunk_km</t>
        </is>
      </c>
      <c r="E237" s="4" t="inlineStr">
        <is>
          <t>2026-06</t>
        </is>
      </c>
      <c r="F237" s="4" t="inlineStr">
        <is>
          <t>Additional route length from the post-2024 scope revision</t>
        </is>
      </c>
      <c r="G237" s="4" t="n">
        <v>170</v>
      </c>
      <c r="H237" s="4" t="inlineStr">
        <is>
          <t>km</t>
        </is>
      </c>
      <c r="I237" s="4" t="n"/>
      <c r="J237" s="4" t="n"/>
      <c r="K237" s="4" t="n"/>
      <c r="L237" s="4" t="inlineStr">
        <is>
          <t>planner statement of scope change</t>
        </is>
      </c>
      <c r="M237" s="4" t="inlineStr">
        <is>
          <t>Increment relative to the 2024 ISP scope, for the extension to Northern Hub only</t>
        </is>
      </c>
      <c r="N237" s="4" t="inlineStr">
        <is>
          <t>An increment, not a total route length; cannot be compared with or subtracted from the chart's 305 km</t>
        </is>
      </c>
      <c r="O237" s="4" t="inlineStr">
        <is>
          <t>HUM-AEMO-2026-ISP-A5</t>
        </is>
      </c>
      <c r="P237" s="4" t="inlineStr">
        <is>
          <t>12</t>
        </is>
      </c>
      <c r="Q237" s="4" t="inlineStr">
        <is>
          <t>Since the 2024 ISP, the New England REZ NIP scope has been revised, including extending to Northern Hub with an additional 170 km.</t>
        </is>
      </c>
      <c r="R237" s="4" t="inlineStr"/>
      <c r="S237" s="4" t="inlineStr">
        <is>
          <t>Appendix footnote 11. The related +1,166 km figure on the same page covers the New England REZ NIP and Project Marinus Stage 1 together and is not attributable to this project.</t>
        </is>
      </c>
    </row>
    <row r="238">
      <c r="A238" s="4" t="inlineStr">
        <is>
          <t>New England REZ Network Infrastructure Project</t>
        </is>
      </c>
      <c r="B238" s="4" t="inlineStr">
        <is>
          <t>NER-PROJECT-NIP</t>
        </is>
      </c>
      <c r="C238" s="4" t="inlineStr">
        <is>
          <t>NER-AO-2026-TFMR-CENTRALB</t>
        </is>
      </c>
      <c r="D238" s="4" t="inlineStr">
        <is>
          <t>transformers_mva</t>
        </is>
      </c>
      <c r="E238" s="4" t="inlineStr">
        <is>
          <t>2026-06</t>
        </is>
      </c>
      <c r="F238" s="4" t="inlineStr">
        <is>
          <t>Central B Hub 500/330/33 kV transformers (four units)</t>
        </is>
      </c>
      <c r="G238" s="4" t="n">
        <v>1500</v>
      </c>
      <c r="H238" s="4" t="inlineStr">
        <is>
          <t>MVA</t>
        </is>
      </c>
      <c r="I238" s="4" t="n"/>
      <c r="J238" s="4" t="n"/>
      <c r="K238" s="4" t="n"/>
      <c r="L238" s="4" t="inlineStr">
        <is>
          <t>anticipated project scope item</t>
        </is>
      </c>
      <c r="M238" s="4" t="inlineStr">
        <is>
          <t>Per-unit rating at Central B Hub; four units stated</t>
        </is>
      </c>
      <c r="N238" s="4" t="inlineStr">
        <is>
          <t>Per-unit rating as published; the source states no MVA total for the project</t>
        </is>
      </c>
      <c r="O238" s="4" t="inlineStr">
        <is>
          <t>HUM-AEMO-2026-ISP-A5</t>
        </is>
      </c>
      <c r="P238" s="4" t="inlineStr">
        <is>
          <t>31</t>
        </is>
      </c>
      <c r="Q238" s="4" t="inlineStr">
        <is>
          <t>New Central B Hub 500/330 kV substation with 4 x 500/330/33 kV 1,500 MVA</t>
        </is>
      </c>
      <c r="R238" s="4" t="inlineStr">
        <is>
          <t>selected</t>
        </is>
      </c>
      <c r="S238" s="4" t="inlineStr">
        <is>
          <t>Four units at 1,500 MVA. Not summed here; the chart's 10,500 MVA total is recorded as a derivation in the transformers finding.</t>
        </is>
      </c>
    </row>
    <row r="239">
      <c r="A239" s="4" t="inlineStr">
        <is>
          <t>New England REZ Network Infrastructure Project</t>
        </is>
      </c>
      <c r="B239" s="4" t="inlineStr">
        <is>
          <t>NER-PROJECT-NIP</t>
        </is>
      </c>
      <c r="C239" s="4" t="inlineStr">
        <is>
          <t>NER-AO-2026-TFMR-CENTRALA</t>
        </is>
      </c>
      <c r="D239" s="4" t="inlineStr">
        <is>
          <t>transformers_mva</t>
        </is>
      </c>
      <c r="E239" s="4" t="inlineStr">
        <is>
          <t>2026-06</t>
        </is>
      </c>
      <c r="F239" s="4" t="inlineStr">
        <is>
          <t>Central A Hub 500/330/33 kV transformers (three units)</t>
        </is>
      </c>
      <c r="G239" s="4" t="n">
        <v>1500</v>
      </c>
      <c r="H239" s="4" t="inlineStr">
        <is>
          <t>MVA</t>
        </is>
      </c>
      <c r="I239" s="4" t="n"/>
      <c r="J239" s="4" t="n"/>
      <c r="K239" s="4" t="n"/>
      <c r="L239" s="4" t="inlineStr">
        <is>
          <t>anticipated project scope item</t>
        </is>
      </c>
      <c r="M239" s="4" t="inlineStr">
        <is>
          <t>Per-unit rating at Central A Hub; three units stated</t>
        </is>
      </c>
      <c r="N239" s="4" t="inlineStr">
        <is>
          <t>Per-unit rating as published; the source states no MVA total for the project</t>
        </is>
      </c>
      <c r="O239" s="4" t="inlineStr">
        <is>
          <t>HUM-AEMO-2026-ISP-A5</t>
        </is>
      </c>
      <c r="P239" s="4" t="inlineStr">
        <is>
          <t>31</t>
        </is>
      </c>
      <c r="Q239" s="4" t="inlineStr">
        <is>
          <t>New Central A Hub 500/330 kV substation with 3 x 500/330/33 kV 1,500 MVA</t>
        </is>
      </c>
      <c r="R239" s="4" t="inlineStr"/>
      <c r="S239" s="4" t="inlineStr">
        <is>
          <t>Three units at 1,500 MVA.</t>
        </is>
      </c>
    </row>
    <row r="240">
      <c r="A240" s="4" t="inlineStr">
        <is>
          <t>New England REZ Network Infrastructure Project</t>
        </is>
      </c>
      <c r="B240" s="4" t="inlineStr">
        <is>
          <t>NER-PROJECT-NIP</t>
        </is>
      </c>
      <c r="C240" s="4" t="inlineStr">
        <is>
          <t>NER-AO-2026-PST-CENTRALB</t>
        </is>
      </c>
      <c r="D240" s="4" t="inlineStr">
        <is>
          <t>transformers_mva</t>
        </is>
      </c>
      <c r="E240" s="4" t="inlineStr">
        <is>
          <t>2026-06</t>
        </is>
      </c>
      <c r="F240" s="4" t="inlineStr">
        <is>
          <t>Central B phase shifting transformers (four units)</t>
        </is>
      </c>
      <c r="G240" s="4" t="n">
        <v>340</v>
      </c>
      <c r="H240" s="4" t="inlineStr">
        <is>
          <t>MVA</t>
        </is>
      </c>
      <c r="I240" s="4" t="n"/>
      <c r="J240" s="4" t="n"/>
      <c r="K240" s="4" t="n"/>
      <c r="L240" s="4" t="inlineStr">
        <is>
          <t>anticipated project scope item</t>
        </is>
      </c>
      <c r="M240" s="4" t="inlineStr">
        <is>
          <t>Per-unit rating of phase shifting transformers at Central B</t>
        </is>
      </c>
      <c r="N240" s="4" t="inlineStr">
        <is>
          <t>Phase shifting transformers are a different asset class from the 500/330/33 kV power transformers; they are not part of the chart's 10,500 MVA</t>
        </is>
      </c>
      <c r="O240" s="4" t="inlineStr">
        <is>
          <t>HUM-AEMO-2026-ISP-A5</t>
        </is>
      </c>
      <c r="P240" s="4" t="inlineStr">
        <is>
          <t>31</t>
        </is>
      </c>
      <c r="Q240" s="4" t="inlineStr">
        <is>
          <t>New 4 x 340 MVA phase shifting transformers at Central B.</t>
        </is>
      </c>
      <c r="R240" s="4" t="inlineStr"/>
      <c r="S240" s="4" t="inlineStr">
        <is>
          <t>Recorded so the chart's transformer total is auditable against everything the source lists.</t>
        </is>
      </c>
    </row>
    <row r="241">
      <c r="A241" s="4" t="inlineStr">
        <is>
          <t>New England REZ Network Infrastructure Project</t>
        </is>
      </c>
      <c r="B241" s="4" t="inlineStr">
        <is>
          <t>NER-PROJECT-NIP</t>
        </is>
      </c>
      <c r="C241" s="4" t="inlineStr">
        <is>
          <t>NER-AO-2026-HUBS</t>
        </is>
      </c>
      <c r="D241" s="4" t="inlineStr">
        <is>
          <t>hubs</t>
        </is>
      </c>
      <c r="E241" s="4" t="inlineStr">
        <is>
          <t>2026-06</t>
        </is>
      </c>
      <c r="F241" s="4" t="inlineStr">
        <is>
          <t>Hubs named in the 2026 ISP delivery scope</t>
        </is>
      </c>
      <c r="G241" s="4" t="n">
        <v>5</v>
      </c>
      <c r="H241" s="4" t="inlineStr">
        <is>
          <t>count</t>
        </is>
      </c>
      <c r="I241" s="4" t="n"/>
      <c r="J241" s="4" t="n"/>
      <c r="K241" s="4" t="n"/>
      <c r="L241" s="4" t="inlineStr">
        <is>
          <t>count of hubs named in the archived scope list</t>
        </is>
      </c>
      <c r="M241" s="4" t="inlineStr">
        <is>
          <t>Hubs named inside CNSW-NNSW Option 1: Central B, North, East, Central South, Central A</t>
        </is>
      </c>
      <c r="N241" s="4" t="inlineStr">
        <is>
          <t>AEMO does not publish a hub tally; the count is read off the named scope items and matches, but does not confirm, the unarchived EnergyCo map</t>
        </is>
      </c>
      <c r="O241" s="4" t="inlineStr">
        <is>
          <t>HUM-AEMO-2026-ISP-A5</t>
        </is>
      </c>
      <c r="P241" s="4" t="inlineStr">
        <is>
          <t>31</t>
        </is>
      </c>
      <c r="Q241" s="4" t="inlineStr">
        <is>
          <t>New 330 kV North and East Hubs.</t>
        </is>
      </c>
      <c r="R241" s="4" t="inlineStr">
        <is>
          <t>selected</t>
        </is>
      </c>
      <c r="S241" s="4" t="inlineStr">
        <is>
          <t>The other named hubs appear in adjacent bullets: 'New Central B Hub 500/330 kV substation', 'New 500 kV Central South Hub' and 'New Central A Hub 500/330 kV substation'.</t>
        </is>
      </c>
    </row>
    <row r="242">
      <c r="A242" s="4" t="inlineStr">
        <is>
          <t>New England REZ Network Infrastructure Project</t>
        </is>
      </c>
      <c r="B242" s="4" t="inlineStr">
        <is>
          <t>NER-PROJECT-NIP</t>
        </is>
      </c>
      <c r="C242" s="4" t="inlineStr">
        <is>
          <t>NER-AO-2026-CSSI</t>
        </is>
      </c>
      <c r="D242" s="4" t="inlineStr">
        <is>
          <t>other</t>
        </is>
      </c>
      <c r="E242" s="4" t="inlineStr">
        <is>
          <t>2024-06</t>
        </is>
      </c>
      <c r="F242" s="4" t="inlineStr">
        <is>
          <t>Critical State Significant Infrastructure declaration, as reported by AEMO</t>
        </is>
      </c>
      <c r="G242" s="4" t="inlineStr">
        <is>
          <t>2024-06</t>
        </is>
      </c>
      <c r="H242" s="4" t="inlineStr">
        <is>
          <t>date</t>
        </is>
      </c>
      <c r="I242" s="4" t="n"/>
      <c r="J242" s="4" t="n"/>
      <c r="K242" s="4" t="n"/>
      <c r="L242" s="4" t="inlineStr">
        <is>
          <t>reported by the planner; primary planning record unavailable</t>
        </is>
      </c>
      <c r="M242" s="4" t="inlineStr">
        <is>
          <t>Whole NIP</t>
        </is>
      </c>
      <c r="N242" s="4" t="inlineStr">
        <is>
          <t>Secondary evidence; the CSSI/EIS planning record was not captured</t>
        </is>
      </c>
      <c r="O242" s="4" t="inlineStr">
        <is>
          <t>HUM-AEMO-2026-ISP-A5</t>
        </is>
      </c>
      <c r="P242" s="4" t="inlineStr">
        <is>
          <t>30</t>
        </is>
      </c>
      <c r="Q242" s="4" t="inlineStr">
        <is>
          <t>June 2024, the New England REZ Network Infrastructure Project was declared a Critical State Significant Infrastructure project by the New South Wales</t>
        </is>
      </c>
      <c r="R242" s="4" t="inlineStr"/>
      <c r="S242" s="4" t="inlineStr">
        <is>
          <t>See SOURCE_UNAVAILABLE for ENE-CSSI.</t>
        </is>
      </c>
    </row>
    <row r="243">
      <c r="A243" s="4" t="inlineStr">
        <is>
          <t>New England REZ Network Infrastructure Project</t>
        </is>
      </c>
      <c r="B243" s="4" t="inlineStr">
        <is>
          <t>NER-PROJECT-NIP</t>
        </is>
      </c>
      <c r="C243" s="4" t="inlineStr">
        <is>
          <t>NER-AO-2024-COST-FP1</t>
        </is>
      </c>
      <c r="D243" s="4" t="inlineStr">
        <is>
          <t>cost</t>
        </is>
      </c>
      <c r="E243" s="4" t="inlineStr">
        <is>
          <t>2024-06</t>
        </is>
      </c>
      <c r="F243" s="4" t="inlineStr">
        <is>
          <t>AEMO 2024 ISP Appendix A5 Flow path CNSW-NNSW Option 1 expected cost</t>
        </is>
      </c>
      <c r="G243" s="4" t="n">
        <v>1834</v>
      </c>
      <c r="H243" s="4" t="inlineStr">
        <is>
          <t>AUD million</t>
        </is>
      </c>
      <c r="I243" s="4" t="n"/>
      <c r="J243" s="4" t="n"/>
      <c r="K243" s="4" t="inlineStr">
        <is>
          <t>±50%</t>
        </is>
      </c>
      <c r="L243" s="4" t="inlineStr">
        <is>
          <t>expected cost / superseded ISP modelling</t>
        </is>
      </c>
      <c r="M243" s="4" t="inlineStr">
        <is>
          <t>Flow path CNSW-NNSW Option 1 only, on the superseded two-part scope</t>
        </is>
      </c>
      <c r="N243" s="4" t="inlineStr">
        <is>
          <t>Not like-for-like with the current single-part project; AEMO notes EnergyCo's May 2024 refined scoping was not included in the final 2024 ISP model</t>
        </is>
      </c>
      <c r="O243" s="4" t="inlineStr">
        <is>
          <t>HUM-AEMO-2024-ISP-A5</t>
        </is>
      </c>
      <c r="P243" s="4" t="inlineStr">
        <is>
          <t>30</t>
        </is>
      </c>
      <c r="Q243" s="4" t="inlineStr">
        <is>
          <t>1,834 (±50%)</t>
        </is>
      </c>
      <c r="R243" s="4" t="inlineStr"/>
      <c r="S243" s="4" t="inlineStr">
        <is>
          <t>Price basis not stated in the table; see PRICE_BASIS_UNKNOWN. Not summed with the other 2024 options.</t>
        </is>
      </c>
    </row>
    <row r="244">
      <c r="A244" s="4" t="inlineStr">
        <is>
          <t>New England REZ Network Infrastructure Project</t>
        </is>
      </c>
      <c r="B244" s="4" t="inlineStr">
        <is>
          <t>NER-PROJECT-NIP</t>
        </is>
      </c>
      <c r="C244" s="4" t="inlineStr">
        <is>
          <t>NER-AO-2024-COST-N2OPT1</t>
        </is>
      </c>
      <c r="D244" s="4" t="inlineStr">
        <is>
          <t>cost</t>
        </is>
      </c>
      <c r="E244" s="4" t="inlineStr">
        <is>
          <t>2024-06</t>
        </is>
      </c>
      <c r="F244" s="4" t="inlineStr">
        <is>
          <t>AEMO 2024 ISP Appendix A5 REZ N2 Option 1 expected cost</t>
        </is>
      </c>
      <c r="G244" s="4" t="n">
        <v>370</v>
      </c>
      <c r="H244" s="4" t="inlineStr">
        <is>
          <t>AUD million</t>
        </is>
      </c>
      <c r="I244" s="4" t="n"/>
      <c r="J244" s="4" t="inlineStr">
        <is>
          <t>Class 5b</t>
        </is>
      </c>
      <c r="K244" s="4" t="inlineStr">
        <is>
          <t>±50%</t>
        </is>
      </c>
      <c r="L244" s="4" t="inlineStr">
        <is>
          <t>expected cost / superseded ISP modelling</t>
        </is>
      </c>
      <c r="M244" s="4" t="inlineStr">
        <is>
          <t>REZ N2 Option 1 only (North, Central South and East switching stations and connecting lines)</t>
        </is>
      </c>
      <c r="N244" s="4" t="inlineStr">
        <is>
          <t>A separate option boundary from the flow path options; not additive with them</t>
        </is>
      </c>
      <c r="O244" s="4" t="inlineStr">
        <is>
          <t>HUM-AEMO-2024-ISP-A5</t>
        </is>
      </c>
      <c r="P244" s="4" t="inlineStr">
        <is>
          <t>30</t>
        </is>
      </c>
      <c r="Q244" s="4" t="inlineStr">
        <is>
          <t>REZ N2: 1,000 370 Class 5b (±50%)</t>
        </is>
      </c>
      <c r="R244" s="4" t="inlineStr"/>
      <c r="S244" s="4" t="inlineStr">
        <is>
          <t>The excerpt runs the option's 1,000 MW REZ N2 capacity into the cost cell because the table columns are adjacent in the derivative. Price basis not stated.</t>
        </is>
      </c>
    </row>
    <row r="245">
      <c r="A245" s="4" t="inlineStr">
        <is>
          <t>New England REZ Network Infrastructure Project</t>
        </is>
      </c>
      <c r="B245" s="4" t="inlineStr">
        <is>
          <t>NER-PROJECT-NIP</t>
        </is>
      </c>
      <c r="C245" s="4" t="inlineStr">
        <is>
          <t>NER-AO-2024-COST-FP2</t>
        </is>
      </c>
      <c r="D245" s="4" t="inlineStr">
        <is>
          <t>cost</t>
        </is>
      </c>
      <c r="E245" s="4" t="inlineStr">
        <is>
          <t>2024-06</t>
        </is>
      </c>
      <c r="F245" s="4" t="inlineStr">
        <is>
          <t>AEMO 2024 ISP Appendix A5 Flow path CNSW-NNSW Option 2 expected cost</t>
        </is>
      </c>
      <c r="G245" s="4" t="n">
        <v>1493</v>
      </c>
      <c r="H245" s="4" t="inlineStr">
        <is>
          <t>AUD million</t>
        </is>
      </c>
      <c r="I245" s="4" t="n"/>
      <c r="J245" s="4" t="inlineStr">
        <is>
          <t>Class 5b</t>
        </is>
      </c>
      <c r="K245" s="4" t="inlineStr">
        <is>
          <t>± 50%</t>
        </is>
      </c>
      <c r="L245" s="4" t="inlineStr">
        <is>
          <t>expected cost / superseded ISP modelling</t>
        </is>
      </c>
      <c r="M245" s="4" t="inlineStr">
        <is>
          <t>Flow path CNSW-NNSW Option 2 only; the table states CNSW-NNSW Option 1 is a prerequisite</t>
        </is>
      </c>
      <c r="N245" s="4" t="inlineStr">
        <is>
          <t>A later, conditional option on the superseded two-part scope; not a component of the current single-part project</t>
        </is>
      </c>
      <c r="O245" s="4" t="inlineStr">
        <is>
          <t>HUM-AEMO-2024-ISP-A5</t>
        </is>
      </c>
      <c r="P245" s="4" t="inlineStr">
        <is>
          <t>30</t>
        </is>
      </c>
      <c r="Q245" s="4" t="inlineStr">
        <is>
          <t>1,493 Class 5b (± 50%)</t>
        </is>
      </c>
      <c r="R245" s="4" t="inlineStr"/>
      <c r="S245" s="4" t="inlineStr">
        <is>
          <t>Price basis not stated. Timing advised by proponent was June 2033.</t>
        </is>
      </c>
    </row>
    <row r="246">
      <c r="A246" s="4" t="inlineStr">
        <is>
          <t>New England REZ Network Infrastructure Project</t>
        </is>
      </c>
      <c r="B246" s="4" t="inlineStr">
        <is>
          <t>NER-PROJECT-NIP</t>
        </is>
      </c>
      <c r="C246" s="4" t="inlineStr">
        <is>
          <t>NER-AO-2024-CAP-FP1</t>
        </is>
      </c>
      <c r="D246" s="4" t="inlineStr">
        <is>
          <t>capacity</t>
        </is>
      </c>
      <c r="E246" s="4" t="inlineStr">
        <is>
          <t>2024-06</t>
        </is>
      </c>
      <c r="F246" s="4" t="inlineStr">
        <is>
          <t>AEMO 2024 ISP Flow path CNSW-NNSW Option 1 additional network capacity</t>
        </is>
      </c>
      <c r="G246" s="4" t="n">
        <v>3000</v>
      </c>
      <c r="H246" s="4" t="inlineStr">
        <is>
          <t>MW</t>
        </is>
      </c>
      <c r="I246" s="4" t="n"/>
      <c r="J246" s="4" t="n"/>
      <c r="K246" s="4" t="n"/>
      <c r="L246" s="4" t="inlineStr">
        <is>
          <t>superseded ISP modelling</t>
        </is>
      </c>
      <c r="M246" s="4" t="inlineStr">
        <is>
          <t>CNSW to NNSW flow path, both directions, under the two-part scope</t>
        </is>
      </c>
      <c r="N246" s="4" t="inlineStr">
        <is>
          <t>A flow path figure on a superseded scope; not comparable with and not additive to the 2026 6,000 MW project figure</t>
        </is>
      </c>
      <c r="O246" s="4" t="inlineStr">
        <is>
          <t>HUM-AEMO-2024-ISP-A5</t>
        </is>
      </c>
      <c r="P246" s="4" t="inlineStr">
        <is>
          <t>30</t>
        </is>
      </c>
      <c r="Q246" s="4" t="inlineStr">
        <is>
          <t>3,000 (both directions of CNSW to NNSW)</t>
        </is>
      </c>
      <c r="R246" s="4" t="inlineStr"/>
      <c r="S246" s="4" t="inlineStr">
        <is>
          <t>The same row separately states REZ N2: 2,000.</t>
        </is>
      </c>
    </row>
    <row r="247">
      <c r="A247" s="4" t="inlineStr">
        <is>
          <t>New England REZ Network Infrastructure Project</t>
        </is>
      </c>
      <c r="B247" s="4" t="inlineStr">
        <is>
          <t>NER-PROJECT-NIP</t>
        </is>
      </c>
      <c r="C247" s="4" t="inlineStr">
        <is>
          <t>NER-AO-2024-CAP-N2-FP1</t>
        </is>
      </c>
      <c r="D247" s="4" t="inlineStr">
        <is>
          <t>capacity</t>
        </is>
      </c>
      <c r="E247" s="4" t="inlineStr">
        <is>
          <t>2024-06</t>
        </is>
      </c>
      <c r="F247" s="4" t="inlineStr">
        <is>
          <t>AEMO 2024 ISP REZ N2 capacity attributed to Flow path Option 1</t>
        </is>
      </c>
      <c r="G247" s="4" t="n">
        <v>2000</v>
      </c>
      <c r="H247" s="4" t="inlineStr">
        <is>
          <t>MW</t>
        </is>
      </c>
      <c r="I247" s="4" t="n"/>
      <c r="J247" s="4" t="n"/>
      <c r="K247" s="4" t="n"/>
      <c r="L247" s="4" t="inlineStr">
        <is>
          <t>superseded ISP modelling</t>
        </is>
      </c>
      <c r="M247" s="4" t="inlineStr">
        <is>
          <t>REZ N2 hosting capacity attributed to Flow path CNSW-NNSW Option 1</t>
        </is>
      </c>
      <c r="N247" s="4" t="inlineStr">
        <is>
          <t>A REZ hosting figure, a different quantity from flow path transfer capacity; never added to it</t>
        </is>
      </c>
      <c r="O247" s="4" t="inlineStr">
        <is>
          <t>HUM-AEMO-2024-ISP-A5</t>
        </is>
      </c>
      <c r="P247" s="4" t="inlineStr">
        <is>
          <t>30</t>
        </is>
      </c>
      <c r="Q247" s="4" t="inlineStr">
        <is>
          <t>REZ N2: 2,000</t>
        </is>
      </c>
      <c r="R247" s="4" t="inlineStr"/>
      <c r="S247" s="4" t="inlineStr"/>
    </row>
    <row r="248">
      <c r="A248" s="4" t="inlineStr">
        <is>
          <t>New England REZ Network Infrastructure Project</t>
        </is>
      </c>
      <c r="B248" s="4" t="inlineStr">
        <is>
          <t>NER-PROJECT-NIP</t>
        </is>
      </c>
      <c r="C248" s="4" t="inlineStr">
        <is>
          <t>NER-AO-2024-CAP-N2OPT1</t>
        </is>
      </c>
      <c r="D248" s="4" t="inlineStr">
        <is>
          <t>capacity</t>
        </is>
      </c>
      <c r="E248" s="4" t="inlineStr">
        <is>
          <t>2024-06</t>
        </is>
      </c>
      <c r="F248" s="4" t="inlineStr">
        <is>
          <t>AEMO 2024 ISP REZ N2 capacity attributed to REZ N2 Option 1</t>
        </is>
      </c>
      <c r="G248" s="4" t="n">
        <v>1000</v>
      </c>
      <c r="H248" s="4" t="inlineStr">
        <is>
          <t>MW</t>
        </is>
      </c>
      <c r="I248" s="4" t="n"/>
      <c r="J248" s="4" t="n"/>
      <c r="K248" s="4" t="n"/>
      <c r="L248" s="4" t="inlineStr">
        <is>
          <t>superseded ISP modelling</t>
        </is>
      </c>
      <c r="M248" s="4" t="inlineStr">
        <is>
          <t>REZ N2 hosting capacity attributed to REZ N2 Option 1</t>
        </is>
      </c>
      <c r="N248" s="4" t="inlineStr">
        <is>
          <t>Option-level REZ hosting figure on the superseded two-part scope</t>
        </is>
      </c>
      <c r="O248" s="4" t="inlineStr">
        <is>
          <t>HUM-AEMO-2024-ISP-A5</t>
        </is>
      </c>
      <c r="P248" s="4" t="inlineStr">
        <is>
          <t>30</t>
        </is>
      </c>
      <c r="Q248" s="4" t="inlineStr">
        <is>
          <t>REZ N2: 1,000</t>
        </is>
      </c>
      <c r="R248" s="4" t="inlineStr"/>
      <c r="S248" s="4" t="inlineStr"/>
    </row>
    <row r="249">
      <c r="A249" s="4" t="inlineStr">
        <is>
          <t>New England REZ Network Infrastructure Project</t>
        </is>
      </c>
      <c r="B249" s="4" t="inlineStr">
        <is>
          <t>NER-PROJECT-NIP</t>
        </is>
      </c>
      <c r="C249" s="4" t="inlineStr">
        <is>
          <t>NER-AO-2024-CAP-N2-FP2</t>
        </is>
      </c>
      <c r="D249" s="4" t="inlineStr">
        <is>
          <t>capacity</t>
        </is>
      </c>
      <c r="E249" s="4" t="inlineStr">
        <is>
          <t>2024-06</t>
        </is>
      </c>
      <c r="F249" s="4" t="inlineStr">
        <is>
          <t>AEMO 2024 ISP REZ N2 capacity attributed to Flow path Option 2</t>
        </is>
      </c>
      <c r="G249" s="4" t="n">
        <v>3000</v>
      </c>
      <c r="H249" s="4" t="inlineStr">
        <is>
          <t>MW</t>
        </is>
      </c>
      <c r="I249" s="4" t="n"/>
      <c r="J249" s="4" t="n"/>
      <c r="K249" s="4" t="n"/>
      <c r="L249" s="4" t="inlineStr">
        <is>
          <t>superseded ISP modelling</t>
        </is>
      </c>
      <c r="M249" s="4" t="inlineStr">
        <is>
          <t>REZ N2 hosting capacity attributed to Flow path CNSW-NNSW Option 2, assuming downstream limitations are addressed by the Hunter Transmission Project</t>
        </is>
      </c>
      <c r="N249" s="4" t="inlineStr">
        <is>
          <t>Conditional on a separate project; never added to the other option capacities</t>
        </is>
      </c>
      <c r="O249" s="4" t="inlineStr">
        <is>
          <t>HUM-AEMO-2024-ISP-A5</t>
        </is>
      </c>
      <c r="P249" s="4" t="inlineStr">
        <is>
          <t>30</t>
        </is>
      </c>
      <c r="Q249" s="4" t="inlineStr">
        <is>
          <t>REZ N2: 3,000</t>
        </is>
      </c>
      <c r="R249" s="4" t="inlineStr"/>
      <c r="S249" s="4" t="inlineStr">
        <is>
          <t>The table states the flow path figure for this option assumes downstream limitations are addressed by Hunter Transmission Project/CNSW-SNW Option 1.</t>
        </is>
      </c>
    </row>
    <row r="250">
      <c r="A250" s="4" t="inlineStr">
        <is>
          <t>New England REZ Network Infrastructure Project</t>
        </is>
      </c>
      <c r="B250" s="4" t="inlineStr">
        <is>
          <t>NER-PROJECT-NIP</t>
        </is>
      </c>
      <c r="C250" s="4" t="inlineStr">
        <is>
          <t>NER-AO-2024-TIMING</t>
        </is>
      </c>
      <c r="D250" s="4" t="inlineStr">
        <is>
          <t>completion</t>
        </is>
      </c>
      <c r="E250" s="4" t="inlineStr">
        <is>
          <t>2024-06</t>
        </is>
      </c>
      <c r="F250" s="4" t="inlineStr">
        <is>
          <t>AEMO 2024 ISP proponent timing under the two-part scope</t>
        </is>
      </c>
      <c r="G250" s="4" t="inlineStr">
        <is>
          <t>2031-06</t>
        </is>
      </c>
      <c r="H250" s="4" t="inlineStr">
        <is>
          <t>date</t>
        </is>
      </c>
      <c r="I250" s="4" t="n"/>
      <c r="J250" s="4" t="n"/>
      <c r="K250" s="4" t="n"/>
      <c r="L250" s="4" t="inlineStr">
        <is>
          <t>superseded proponent timing</t>
        </is>
      </c>
      <c r="M250" s="4" t="inlineStr">
        <is>
          <t>Flow Path Option 1 and REZ Option 1; Flow Path Option 2 timing stated separately as June 2033</t>
        </is>
      </c>
      <c r="N250" s="4" t="inlineStr">
        <is>
          <t>Superseded by the January 2034 single-part delivery date; not a delay measurement because the scope changed</t>
        </is>
      </c>
      <c r="O250" s="4" t="inlineStr">
        <is>
          <t>HUM-AEMO-2024-ISP-A5</t>
        </is>
      </c>
      <c r="P250" s="4" t="inlineStr">
        <is>
          <t>31</t>
        </is>
      </c>
      <c r="Q250" s="4" t="inlineStr">
        <is>
          <t>2031. EnergyCo has also advised that the timing for Flow Path Option 2 is June 2033.</t>
        </is>
      </c>
      <c r="R250" s="4" t="inlineStr"/>
      <c r="S250" s="4" t="inlineStr">
        <is>
          <t>The table modelled commissioning by July 2030 while EnergyCo's earliest practical date was June 2031.</t>
        </is>
      </c>
    </row>
    <row r="251">
      <c r="A251" s="4" t="inlineStr">
        <is>
          <t>New England REZ Network Infrastructure Project</t>
        </is>
      </c>
      <c r="B251" s="4" t="inlineStr">
        <is>
          <t>NER-PROJECT-NIP</t>
        </is>
      </c>
      <c r="C251" s="4" t="inlineStr">
        <is>
          <t>NER-AO-2022-COST-LINK</t>
        </is>
      </c>
      <c r="D251" s="4" t="inlineStr">
        <is>
          <t>cost</t>
        </is>
      </c>
      <c r="E251" s="4" t="inlineStr">
        <is>
          <t>2022-06</t>
        </is>
      </c>
      <c r="F251" s="4" t="inlineStr">
        <is>
          <t>AEMO 2022 ISP New England REZ Transmission Link estimated cost</t>
        </is>
      </c>
      <c r="G251" s="4" t="n">
        <v>1900</v>
      </c>
      <c r="H251" s="4" t="inlineStr">
        <is>
          <t>AUD million</t>
        </is>
      </c>
      <c r="I251" s="4" t="n"/>
      <c r="J251" s="4" t="n"/>
      <c r="K251" s="4" t="inlineStr">
        <is>
          <t>±50%</t>
        </is>
      </c>
      <c r="L251" s="4" t="inlineStr">
        <is>
          <t>historical ISP estimate for a differently named project</t>
        </is>
      </c>
      <c r="M251" s="4" t="inlineStr">
        <is>
          <t>New England REZ Transmission Link as defined in the 2022 ISP, an actionable New South Wales project</t>
        </is>
      </c>
      <c r="N251" s="4" t="inlineStr">
        <is>
          <t>A different project definition and scope from the current NIP; not a baseline for any overrun calculation</t>
        </is>
      </c>
      <c r="O251" s="4" t="inlineStr">
        <is>
          <t>HUM-AEMO-2022-ISP</t>
        </is>
      </c>
      <c r="P251" s="4" t="inlineStr">
        <is>
          <t>72</t>
        </is>
      </c>
      <c r="Q251" s="4" t="inlineStr">
        <is>
          <t>The project is estimated to cost $1.9 billion ±50%.</t>
        </is>
      </c>
      <c r="R251" s="4" t="inlineStr"/>
      <c r="S251" s="4" t="inlineStr">
        <is>
          <t>Price basis not stated; see PRICE_BASIS_UNKNOWN.</t>
        </is>
      </c>
    </row>
    <row r="252">
      <c r="A252" s="4" t="inlineStr">
        <is>
          <t>New England REZ Network Infrastructure Project</t>
        </is>
      </c>
      <c r="B252" s="4" t="inlineStr">
        <is>
          <t>NER-PROJECT-NIP</t>
        </is>
      </c>
      <c r="C252" s="4" t="inlineStr">
        <is>
          <t>NER-AO-2023-STRAT-8GW</t>
        </is>
      </c>
      <c r="D252" s="4" t="inlineStr">
        <is>
          <t>capacity</t>
        </is>
      </c>
      <c r="E252" s="4" t="inlineStr">
        <is>
          <t>2023-05</t>
        </is>
      </c>
      <c r="F252" s="4" t="inlineStr">
        <is>
          <t>EnergyCo strategy statement of intended declared network capacity</t>
        </is>
      </c>
      <c r="G252" s="4" t="n">
        <v>8</v>
      </c>
      <c r="H252" s="4" t="inlineStr">
        <is>
          <t>GW</t>
        </is>
      </c>
      <c r="I252" s="4" t="n"/>
      <c r="J252" s="4" t="n"/>
      <c r="K252" s="4" t="n"/>
      <c r="L252" s="4" t="inlineStr">
        <is>
          <t>infrastructure planner strategy</t>
        </is>
      </c>
      <c r="M252" s="4" t="inlineStr">
        <is>
          <t>Declared REZ area intent</t>
        </is>
      </c>
      <c r="N252" s="4" t="inlineStr">
        <is>
          <t>Corroborates the declaration intent AEMO reports; not a project deliverable</t>
        </is>
      </c>
      <c r="O252" s="4" t="inlineStr">
        <is>
          <t>CWO-04</t>
        </is>
      </c>
      <c r="P252" s="4" t="inlineStr">
        <is>
          <t>35</t>
        </is>
      </c>
      <c r="Q252" s="4" t="inlineStr">
        <is>
          <t>It was formally declared on 17 December 2021, with an intended network capacity of 8 GW.10</t>
        </is>
      </c>
      <c r="R252" s="4" t="inlineStr"/>
      <c r="S252" s="4" t="inlineStr">
        <is>
          <t>The same page states a further 2 GW of network capacity may be delivered by future augmentations. The trailing 10 is a footnote marker.</t>
        </is>
      </c>
    </row>
    <row r="253">
      <c r="A253" s="4" t="inlineStr">
        <is>
          <t>New England REZ Network Infrastructure Project</t>
        </is>
      </c>
      <c r="B253" s="4" t="inlineStr">
        <is>
          <t>NER-PROJECT-NIP</t>
        </is>
      </c>
      <c r="C253" s="4" t="inlineStr">
        <is>
          <t>NER-AO-2023-STRAT-6GW</t>
        </is>
      </c>
      <c r="D253" s="4" t="inlineStr">
        <is>
          <t>capacity</t>
        </is>
      </c>
      <c r="E253" s="4" t="inlineStr">
        <is>
          <t>2023-05</t>
        </is>
      </c>
      <c r="F253" s="4" t="inlineStr">
        <is>
          <t>EnergyCo strategy Deliver Now capacity for New England</t>
        </is>
      </c>
      <c r="G253" s="4" t="n">
        <v>6</v>
      </c>
      <c r="H253" s="4" t="inlineStr">
        <is>
          <t>GW</t>
        </is>
      </c>
      <c r="I253" s="4" t="n"/>
      <c r="J253" s="4" t="n"/>
      <c r="K253" s="4" t="n"/>
      <c r="L253" s="4" t="inlineStr">
        <is>
          <t>infrastructure planner strategy option</t>
        </is>
      </c>
      <c r="M253" s="4" t="inlineStr">
        <is>
          <t>Deliver Now option set for New England only</t>
        </is>
      </c>
      <c r="N253" s="4" t="inlineStr">
        <is>
          <t>A strategy option, not the NIP scope; the hub count of four differs from the five hubs in the 2026 ISP scope</t>
        </is>
      </c>
      <c r="O253" s="4" t="inlineStr">
        <is>
          <t>CWO-04</t>
        </is>
      </c>
      <c r="P253" s="4" t="inlineStr">
        <is>
          <t>11</t>
        </is>
      </c>
      <c r="Q253" s="4" t="inlineStr">
        <is>
          <t>New England REZ: add 6 GW of network capacity, with new lines to connect four new substation hubs to the existing network between Bayswater and the Tamworth–Armidale line.</t>
        </is>
      </c>
      <c r="R253" s="4" t="inlineStr"/>
      <c r="S253" s="4" t="inlineStr">
        <is>
          <t>The same passage proposes the 6 GW over two stages of 2.4 GW and 3.6 GW.</t>
        </is>
      </c>
    </row>
    <row r="254">
      <c r="A254" s="4" t="inlineStr">
        <is>
          <t>New England REZ Network Infrastructure Project</t>
        </is>
      </c>
      <c r="B254" s="4" t="inlineStr">
        <is>
          <t>NER-PROJECT-NIP</t>
        </is>
      </c>
      <c r="C254" s="4" t="inlineStr">
        <is>
          <t>NER-AO-2023-STRAT-LIMIT</t>
        </is>
      </c>
      <c r="D254" s="4" t="inlineStr">
        <is>
          <t>capacity</t>
        </is>
      </c>
      <c r="E254" s="4" t="inlineStr">
        <is>
          <t>2023-05</t>
        </is>
      </c>
      <c r="F254" s="4" t="inlineStr">
        <is>
          <t>EnergyCo strategy statement that Deliver Now limits New England to 6 GW</t>
        </is>
      </c>
      <c r="G254" s="4" t="n">
        <v>6</v>
      </c>
      <c r="H254" s="4" t="inlineStr">
        <is>
          <t>GW</t>
        </is>
      </c>
      <c r="I254" s="4" t="n"/>
      <c r="J254" s="4" t="n"/>
      <c r="K254" s="4" t="n"/>
      <c r="L254" s="4" t="inlineStr">
        <is>
          <t>infrastructure planner strategy</t>
        </is>
      </c>
      <c r="M254" s="4" t="inlineStr">
        <is>
          <t>Capacity reachable with the Deliver Now options, against the 8 GW declared intent</t>
        </is>
      </c>
      <c r="N254" s="4" t="inlineStr">
        <is>
          <t>The clearest archived statement that the declared 8 GW and the delivered 6 GW are different quantities</t>
        </is>
      </c>
      <c r="O254" s="4" t="inlineStr">
        <is>
          <t>CWO-04</t>
        </is>
      </c>
      <c r="P254" s="4" t="inlineStr">
        <is>
          <t>13</t>
        </is>
      </c>
      <c r="Q254" s="4" t="inlineStr">
        <is>
          <t>for the New England REZ would limit its network capacity to 6 GW, down from the intended 8 GW,</t>
        </is>
      </c>
      <c r="R254" s="4" t="inlineStr"/>
      <c r="S254" s="4" t="inlineStr">
        <is>
          <t>The source adds that additional capacity would be considered for future expansions.</t>
        </is>
      </c>
    </row>
    <row r="255">
      <c r="A255" s="4" t="inlineStr">
        <is>
          <t>New England REZ Network Infrastructure Project</t>
        </is>
      </c>
      <c r="B255" s="4" t="inlineStr">
        <is>
          <t>NER-PROJECT-NIP</t>
        </is>
      </c>
      <c r="C255" s="4" t="inlineStr">
        <is>
          <t>NER-AO-2023-STRAT-SECURE-NOW</t>
        </is>
      </c>
      <c r="D255" s="4" t="inlineStr">
        <is>
          <t>capacity</t>
        </is>
      </c>
      <c r="E255" s="4" t="inlineStr">
        <is>
          <t>2023-05</t>
        </is>
      </c>
      <c r="F255" s="4" t="inlineStr">
        <is>
          <t>EnergyCo strategy Secure Now option capacity for New England</t>
        </is>
      </c>
      <c r="G255" s="4" t="n">
        <v>0.8</v>
      </c>
      <c r="H255" s="4" t="inlineStr">
        <is>
          <t>GW</t>
        </is>
      </c>
      <c r="I255" s="4" t="n"/>
      <c r="J255" s="4" t="n"/>
      <c r="K255" s="4" t="n"/>
      <c r="L255" s="4" t="inlineStr">
        <is>
          <t>infrastructure planner strategy option</t>
        </is>
      </c>
      <c r="M255" s="4" t="inlineStr">
        <is>
          <t>Secure Now option only: an upgrade to an existing line between Armidale and Carrai</t>
        </is>
      </c>
      <c r="N255" s="4" t="inlineStr">
        <is>
          <t>A separate staged option outside the NIP scope; never added to the 6 GW</t>
        </is>
      </c>
      <c r="O255" s="4" t="inlineStr">
        <is>
          <t>CWO-04</t>
        </is>
      </c>
      <c r="P255" s="4" t="inlineStr">
        <is>
          <t>35</t>
        </is>
      </c>
      <c r="Q255" s="4" t="inlineStr">
        <is>
          <t>Secure Now. An additional 0.8 GW capacity by 2029 to support long-duration storage in the region, delivered by an upgrade to an existing line between Armidale and Carrai.</t>
        </is>
      </c>
      <c r="R255" s="4" t="inlineStr"/>
      <c r="S255" s="4" t="inlineStr"/>
    </row>
    <row r="256">
      <c r="A256" s="4" t="inlineStr">
        <is>
          <t>New England REZ Network Infrastructure Project</t>
        </is>
      </c>
      <c r="B256" s="4" t="inlineStr">
        <is>
          <t>NER-PROJECT-NIP</t>
        </is>
      </c>
      <c r="C256" s="4" t="inlineStr">
        <is>
          <t>NER-AO-2023-STRAT-PLAN-FUTURE</t>
        </is>
      </c>
      <c r="D256" s="4" t="inlineStr">
        <is>
          <t>capacity</t>
        </is>
      </c>
      <c r="E256" s="4" t="inlineStr">
        <is>
          <t>2023-05</t>
        </is>
      </c>
      <c r="F256" s="4" t="inlineStr">
        <is>
          <t>EnergyCo strategy Plan for the Future option capacity for New England</t>
        </is>
      </c>
      <c r="G256" s="4" t="n">
        <v>1.5</v>
      </c>
      <c r="H256" s="4" t="inlineStr">
        <is>
          <t>GW</t>
        </is>
      </c>
      <c r="I256" s="4" t="n"/>
      <c r="J256" s="4" t="n"/>
      <c r="K256" s="4" t="n"/>
      <c r="L256" s="4" t="inlineStr">
        <is>
          <t>infrastructure planner strategy option</t>
        </is>
      </c>
      <c r="M256" s="4" t="inlineStr">
        <is>
          <t>Plan for the Future option only: a new 330 kV line running north from the Central hub</t>
        </is>
      </c>
      <c r="N256" s="4" t="inlineStr">
        <is>
          <t>A conditional future option outside the NIP scope; never added to the 6 GW</t>
        </is>
      </c>
      <c r="O256" s="4" t="inlineStr">
        <is>
          <t>CWO-04</t>
        </is>
      </c>
      <c r="P256" s="4" t="inlineStr">
        <is>
          <t>35</t>
        </is>
      </c>
      <c r="Q256" s="4" t="inlineStr">
        <is>
          <t>Plan for the Future. An additional 1.5 GW capacity if needed to support strong state-wide electrification, delivered by a new 330 kV line running north from the Central hub.</t>
        </is>
      </c>
      <c r="R256" s="4" t="inlineStr"/>
      <c r="S256" s="4" t="inlineStr"/>
    </row>
    <row r="257">
      <c r="A257" s="4" t="inlineStr">
        <is>
          <t>New England REZ Network Infrastructure Project</t>
        </is>
      </c>
      <c r="B257" s="4" t="inlineStr">
        <is>
          <t>NER-PROJECT-NIP</t>
        </is>
      </c>
      <c r="C257" s="4" t="inlineStr">
        <is>
          <t>NER-AO-2023-STRAT-DELIVER-NOW-EST</t>
        </is>
      </c>
      <c r="D257" s="4" t="inlineStr">
        <is>
          <t>cost</t>
        </is>
      </c>
      <c r="E257" s="4" t="inlineStr">
        <is>
          <t>2023-05</t>
        </is>
      </c>
      <c r="F257" s="4" t="inlineStr">
        <is>
          <t>EnergyCo strategy Deliver Now construction cost preliminary estimate (all REZs)</t>
        </is>
      </c>
      <c r="G257" s="4" t="n">
        <v>7800</v>
      </c>
      <c r="H257" s="4" t="inlineStr">
        <is>
          <t>AUD million</t>
        </is>
      </c>
      <c r="I257" s="4" t="n"/>
      <c r="J257" s="4" t="n"/>
      <c r="K257" s="4" t="n"/>
      <c r="L257" s="4" t="inlineStr">
        <is>
          <t>preliminary portfolio-level estimate</t>
        </is>
      </c>
      <c r="M257" s="4" t="inlineStr">
        <is>
          <t>All Deliver Now options across Central-West Orana, New England, South West and Hunter-Central Coast combined, not New England alone</t>
        </is>
      </c>
      <c r="N257" s="4" t="inlineStr">
        <is>
          <t>Portfolio-level and multi-REZ; no New England share is published, so it cannot be attributed to this project</t>
        </is>
      </c>
      <c r="O257" s="4" t="inlineStr">
        <is>
          <t>CWO-04</t>
        </is>
      </c>
      <c r="P257" s="4" t="inlineStr">
        <is>
          <t>9</t>
        </is>
      </c>
      <c r="Q257" s="4" t="inlineStr">
        <is>
          <t>Construction cost preliminary estimates c $7.8 billion $1.5 billion $3.0 billion</t>
        </is>
      </c>
      <c r="R257" s="4" t="inlineStr"/>
      <c r="S257" s="4" t="inlineStr">
        <is>
          <t>Recorded to show the only archived EnergyCo cost figure is not a NIP cost. Price basis not stated. The three amounts are Deliver Now, Secure Now and Plan for the Future respectively.</t>
        </is>
      </c>
    </row>
    <row r="258">
      <c r="A258" s="4" t="inlineStr">
        <is>
          <t>New England REZ Network Infrastructure Project</t>
        </is>
      </c>
      <c r="B258" s="4" t="inlineStr">
        <is>
          <t>NER-PROJECT-NIP</t>
        </is>
      </c>
      <c r="C258" s="4" t="inlineStr">
        <is>
          <t>NER-AO-2023-STRAT-ENERGISATION</t>
        </is>
      </c>
      <c r="D258" s="4" t="inlineStr">
        <is>
          <t>completion</t>
        </is>
      </c>
      <c r="E258" s="4" t="inlineStr">
        <is>
          <t>2023-05</t>
        </is>
      </c>
      <c r="F258" s="4" t="inlineStr">
        <is>
          <t>EnergyCo strategy proposed initial energisation for New England REZ</t>
        </is>
      </c>
      <c r="G258" s="4" t="inlineStr">
        <is>
          <t>2029</t>
        </is>
      </c>
      <c r="H258" s="4" t="inlineStr">
        <is>
          <t>date</t>
        </is>
      </c>
      <c r="I258" s="4" t="n"/>
      <c r="J258" s="4" t="n"/>
      <c r="K258" s="4" t="n"/>
      <c r="L258" s="4" t="inlineStr">
        <is>
          <t>superseded planner proposal</t>
        </is>
      </c>
      <c r="M258" s="4" t="inlineStr">
        <is>
          <t>Initial energisation, not full completion</t>
        </is>
      </c>
      <c r="N258" s="4" t="inlineStr">
        <is>
          <t>An initial energisation date, a different milestone from the January 2034 delivery date</t>
        </is>
      </c>
      <c r="O258" s="4" t="inlineStr">
        <is>
          <t>CWO-04</t>
        </is>
      </c>
      <c r="P258" s="4" t="inlineStr">
        <is>
          <t>25</t>
        </is>
      </c>
      <c r="Q258" s="4" t="inlineStr">
        <is>
          <t>New England REZ 2029</t>
        </is>
      </c>
      <c r="R258" s="4" t="inlineStr"/>
      <c r="S258" s="4" t="inlineStr">
        <is>
          <t>From the proposed timing table for initial energisations.</t>
        </is>
      </c>
    </row>
    <row r="259">
      <c r="A259" s="4" t="inlineStr">
        <is>
          <t>New England REZ Network Infrastructure Project</t>
        </is>
      </c>
      <c r="B259" s="4" t="inlineStr">
        <is>
          <t>NER-PROJECT-NIP</t>
        </is>
      </c>
      <c r="C259" s="4" t="inlineStr">
        <is>
          <t>NER-AO-2026-QNI-PREREQ</t>
        </is>
      </c>
      <c r="D259" s="4" t="inlineStr">
        <is>
          <t>other</t>
        </is>
      </c>
      <c r="E259" s="4" t="inlineStr">
        <is>
          <t>2026-06</t>
        </is>
      </c>
      <c r="F259" s="4" t="inlineStr">
        <is>
          <t>QNI Connect (NNSW-SQ Option 2) states the NIP as a pre-requisite</t>
        </is>
      </c>
      <c r="G259" s="4" t="inlineStr">
        <is>
          <t>pre-requisite</t>
        </is>
      </c>
      <c r="H259" s="4" t="inlineStr">
        <is>
          <t>text</t>
        </is>
      </c>
      <c r="I259" s="4" t="n"/>
      <c r="J259" s="4" t="n"/>
      <c r="K259" s="4" t="n"/>
      <c r="L259" s="4" t="inlineStr">
        <is>
          <t>future ISP project dependency</t>
        </is>
      </c>
      <c r="M259" s="4" t="inlineStr">
        <is>
          <t>Dependency relationship only; no scope or cost transfer</t>
        </is>
      </c>
      <c r="N259" s="4" t="inlineStr">
        <is>
          <t>QNI Connect's $2,989m total project cost belongs to that project, not to the NIP</t>
        </is>
      </c>
      <c r="O259" s="4" t="inlineStr">
        <is>
          <t>HUM-AEMO-2026-ISP-A5</t>
        </is>
      </c>
      <c r="P259" s="4" t="inlineStr">
        <is>
          <t>64</t>
        </is>
      </c>
      <c r="Q259" s="4" t="inlineStr">
        <is>
          <t>Pre-requisite: New England REZ Network Infrastructure Project</t>
        </is>
      </c>
      <c r="R259" s="4" t="inlineStr"/>
      <c r="S259" s="4" t="inlineStr">
        <is>
          <t>QNI Connect is deferred to a future project in the 2026 ISP and its proponents are no longer progressing a PADR.</t>
        </is>
      </c>
    </row>
    <row r="260">
      <c r="A260" s="4" t="inlineStr">
        <is>
          <t>New England REZ Network Infrastructure Project</t>
        </is>
      </c>
      <c r="B260" s="4" t="inlineStr">
        <is>
          <t>NER-PROJECT-NIP</t>
        </is>
      </c>
      <c r="C260" s="4" t="inlineStr">
        <is>
          <t>NER-AO-2025-CONSULT-CAP-6GW</t>
        </is>
      </c>
      <c r="D260" s="4" t="inlineStr">
        <is>
          <t>capacity</t>
        </is>
      </c>
      <c r="E260" s="4" t="inlineStr">
        <is>
          <t>2025-08</t>
        </is>
      </c>
      <c r="F260" s="4" t="inlineStr">
        <is>
          <t>EnergyCo 2025 consultation paper: 6 GW network transfer capacity target unlocked by Stages 1 and 2</t>
        </is>
      </c>
      <c r="G260" s="4" t="n">
        <v>6</v>
      </c>
      <c r="H260" s="4" t="inlineStr">
        <is>
          <t>GW</t>
        </is>
      </c>
      <c r="I260" s="4" t="n"/>
      <c r="J260" s="4" t="n"/>
      <c r="K260" s="4" t="n"/>
      <c r="L260" s="4" t="inlineStr">
        <is>
          <t>proponent consultation paper representation</t>
        </is>
      </c>
      <c r="M260" s="4" t="inlineStr">
        <is>
          <t>New REZ Network Infrastructure transfer capacity delivered cumulatively over Stages 1 and 2</t>
        </is>
      </c>
      <c r="N260" s="4" t="inlineStr">
        <is>
          <t>A different boundary from AEMO's 6,000 MW forward/reverse 2026 ISP figures and the 8,000 MW declared area intent; a proponent staged target, never added to them</t>
        </is>
      </c>
      <c r="O260" s="4" t="inlineStr">
        <is>
          <t>NER-ENERGYCO-2025-CONSULTATION</t>
        </is>
      </c>
      <c r="P260" s="4" t="inlineStr">
        <is>
          <t>9, 51</t>
        </is>
      </c>
      <c r="Q260" s="4" t="inlineStr">
        <is>
          <t>the 6 GW network transfer capacity target to be unlocked by Stage s 1 and 2</t>
        </is>
      </c>
      <c r="R260" s="4" t="inlineStr"/>
      <c r="S260" s="4" t="inlineStr">
        <is>
          <t>Page 9 states an initial network capacity of 6 GW delivered over two stages. Table 1 on page 11 states Stage 1 = 2.4 GW (2032) and Stage 2 cumulative = 6.0 GW (2034). The derivative's text extraction splits 'Stages' as 'Stage s'.</t>
        </is>
      </c>
    </row>
    <row r="261">
      <c r="A261" s="4" t="inlineStr">
        <is>
          <t>New England REZ Network Infrastructure Project</t>
        </is>
      </c>
      <c r="B261" s="4" t="inlineStr">
        <is>
          <t>NER-PROJECT-NIP</t>
        </is>
      </c>
      <c r="C261" s="4" t="inlineStr">
        <is>
          <t>NER-AO-2025-CONSULT-CAP-8GW-FUTURE</t>
        </is>
      </c>
      <c r="D261" s="4" t="inlineStr">
        <is>
          <t>capacity</t>
        </is>
      </c>
      <c r="E261" s="4" t="inlineStr">
        <is>
          <t>2025-08</t>
        </is>
      </c>
      <c r="F261" s="4" t="inlineStr">
        <is>
          <t>EnergyCo 2025 consultation paper: potential future network capacity of 8 GW</t>
        </is>
      </c>
      <c r="G261" s="4" t="n">
        <v>8</v>
      </c>
      <c r="H261" s="4" t="inlineStr">
        <is>
          <t>GW</t>
        </is>
      </c>
      <c r="I261" s="4" t="n"/>
      <c r="J261" s="4" t="n"/>
      <c r="K261" s="4" t="n"/>
      <c r="L261" s="4" t="inlineStr">
        <is>
          <t>proponent consultation paper representation, future potential</t>
        </is>
      </c>
      <c r="M261" s="4" t="inlineStr">
        <is>
          <t>Potential future New REZ Network Infrastructure capacity beyond Stages 1 and 2 (Stage 3, timing TBC)</t>
        </is>
      </c>
      <c r="N261" s="4" t="inlineStr">
        <is>
          <t>Matches the chart's network_capacity_gw cell value directly as an explicit future-potential figure from the proponent; distinct from the 6 GW currently targeted and from AEMO's 8,000 MW declared area intent</t>
        </is>
      </c>
      <c r="O261" s="4" t="inlineStr">
        <is>
          <t>NER-ENERGYCO-2025-CONSULTATION</t>
        </is>
      </c>
      <c r="P261" s="4" t="inlineStr">
        <is>
          <t>9, 11</t>
        </is>
      </c>
      <c r="Q261" s="4" t="inlineStr">
        <is>
          <t>the potential to increase the network capacity to 8 GW in the future</t>
        </is>
      </c>
      <c r="R261" s="4" t="inlineStr"/>
      <c r="S261" s="4" t="inlineStr">
        <is>
          <t>Table 1 (page 11) separately states Stage 3 = 8.0 GW, timing TBC, an additional transfer capacity of at least 2 GW subject to energy demand and separate approvals.</t>
        </is>
      </c>
    </row>
    <row r="262">
      <c r="A262" s="4" t="inlineStr">
        <is>
          <t>New England REZ Network Infrastructure Project</t>
        </is>
      </c>
      <c r="B262" s="4" t="inlineStr">
        <is>
          <t>NER-PROJECT-NIP</t>
        </is>
      </c>
      <c r="C262" s="4" t="inlineStr">
        <is>
          <t>NER-AO-2025-CONSULT-LINES</t>
        </is>
      </c>
      <c r="D262" s="4" t="inlineStr">
        <is>
          <t>lines</t>
        </is>
      </c>
      <c r="E262" s="4" t="inlineStr">
        <is>
          <t>2025-08</t>
        </is>
      </c>
      <c r="F262" s="4" t="inlineStr">
        <is>
          <t>EnergyCo 2025 consultation paper: two new double-circuit 500 kV lines to Bayswater</t>
        </is>
      </c>
      <c r="G262" s="4" t="n">
        <v>2</v>
      </c>
      <c r="H262" s="4" t="inlineStr">
        <is>
          <t>count</t>
        </is>
      </c>
      <c r="I262" s="4" t="n"/>
      <c r="J262" s="4" t="n"/>
      <c r="K262" s="4" t="n"/>
      <c r="L262" s="4" t="inlineStr">
        <is>
          <t>proponent consultation paper representation</t>
        </is>
      </c>
      <c r="M262" s="4" t="inlineStr">
        <is>
          <t>New transmission lines connecting the New England REZ to the existing NSW network near Bayswater Power Station</t>
        </is>
      </c>
      <c r="N262" s="4" t="inlineStr">
        <is>
          <t>Matches the chart's lines cell directly; a narrower boundary than the archived 2026 ISP delivery scope, which enumerates five distinct double-circuit lines across the whole NIP</t>
        </is>
      </c>
      <c r="O262" s="4" t="inlineStr">
        <is>
          <t>NER-ENERGYCO-2025-CONSULTATION</t>
        </is>
      </c>
      <c r="P262" s="4" t="inlineStr">
        <is>
          <t>11</t>
        </is>
      </c>
      <c r="Q262" s="4" t="inlineStr">
        <is>
          <t>two new double - circuit 500 kV transmission lines to connect the New England REZ to the existing NSW transmission network near Bayswater Power Station</t>
        </is>
      </c>
      <c r="R262" s="4" t="inlineStr">
        <is>
          <t>selected</t>
        </is>
      </c>
      <c r="S262" s="4" t="inlineStr">
        <is>
          <t>Section 2.2.2. The project also has separate new 500 kV and 330 kV lines to the proposed energy hubs, not counted in this figure.</t>
        </is>
      </c>
    </row>
    <row r="263">
      <c r="A263" s="4" t="inlineStr">
        <is>
          <t>New England REZ Network Infrastructure Project</t>
        </is>
      </c>
      <c r="B263" s="4" t="inlineStr">
        <is>
          <t>NER-PROJECT-NIP</t>
        </is>
      </c>
      <c r="C263" s="4" t="inlineStr">
        <is>
          <t>NER-AO-2025-CONSULT-CIRCUITS</t>
        </is>
      </c>
      <c r="D263" s="4" t="inlineStr">
        <is>
          <t>circuits</t>
        </is>
      </c>
      <c r="E263" s="4" t="inlineStr">
        <is>
          <t>2025-08</t>
        </is>
      </c>
      <c r="F263" s="4" t="inlineStr">
        <is>
          <t>EnergyCo 2025 consultation paper: double-circuit configuration of the two new 500 kV lines to Bayswater</t>
        </is>
      </c>
      <c r="G263" s="4" t="n">
        <v>2</v>
      </c>
      <c r="H263" s="4" t="inlineStr">
        <is>
          <t>circuits per line</t>
        </is>
      </c>
      <c r="I263" s="4" t="n"/>
      <c r="J263" s="4" t="n"/>
      <c r="K263" s="4" t="n"/>
      <c r="L263" s="4" t="inlineStr">
        <is>
          <t>proponent consultation paper representation</t>
        </is>
      </c>
      <c r="M263" s="4" t="inlineStr">
        <is>
          <t>Per-line circuit configuration of the two new 500 kV lines to Bayswater Power Station; not a total circuit count</t>
        </is>
      </c>
      <c r="N263" s="4" t="inlineStr">
        <is>
          <t>A per-line configuration, not summed here; two double-circuit lines imply 4 circuits in total, matching the chart's circuits cell, but that multiplication is recorded only as the chart finding's derivation, not this observation</t>
        </is>
      </c>
      <c r="O263" s="4" t="inlineStr">
        <is>
          <t>NER-ENERGYCO-2025-CONSULTATION</t>
        </is>
      </c>
      <c r="P263" s="4" t="inlineStr">
        <is>
          <t>11</t>
        </is>
      </c>
      <c r="Q263" s="4" t="inlineStr">
        <is>
          <t>two new double - circuit 500 kV transmission lines</t>
        </is>
      </c>
      <c r="R263" s="4" t="inlineStr">
        <is>
          <t>selected</t>
        </is>
      </c>
      <c r="S263" s="4" t="inlineStr">
        <is>
          <t>Same sentence as NER-AO-2025-CONSULT-LINES; recorded separately because circuits and lines are distinct measures in the contract vocabulary.</t>
        </is>
      </c>
    </row>
    <row r="264">
      <c r="A264" s="4" t="inlineStr">
        <is>
          <t>New England REZ Network Infrastructure Project</t>
        </is>
      </c>
      <c r="B264" s="4" t="inlineStr">
        <is>
          <t>NER-PROJECT-NIP</t>
        </is>
      </c>
      <c r="C264" s="4" t="inlineStr">
        <is>
          <t>NER-AO-2026-FEEDBACK-EASEMENT</t>
        </is>
      </c>
      <c r="D264" s="4" t="inlineStr">
        <is>
          <t>other</t>
        </is>
      </c>
      <c r="E264" s="4" t="inlineStr">
        <is>
          <t>2026-04</t>
        </is>
      </c>
      <c r="F264" s="4" t="inlineStr">
        <is>
          <t>EnergyCo 2026 feedback report: 140 m easement for twin 500 kV lines, generally 70 m per line</t>
        </is>
      </c>
      <c r="G264" s="4" t="inlineStr">
        <is>
          <t>140 m easement, generally 70 m per line</t>
        </is>
      </c>
      <c r="H264" s="4" t="inlineStr">
        <is>
          <t>text</t>
        </is>
      </c>
      <c r="I264" s="4" t="n"/>
      <c r="J264" s="4" t="n"/>
      <c r="K264" s="4" t="n"/>
      <c r="L264" s="4" t="inlineStr">
        <is>
          <t>proponent community feedback report representation</t>
        </is>
      </c>
      <c r="M264" s="4" t="inlineStr">
        <is>
          <t>Final easement width proposed for the twin new 500 kV lines corridor; distinct from the existing single 330 kV Transgrid easement (around 60 m)</t>
        </is>
      </c>
      <c r="N264" s="4" t="inlineStr">
        <is>
          <t>A corridor/easement width, not a route length; does not support or substitute for the chart's 305 km trunk_km figure</t>
        </is>
      </c>
      <c r="O264" s="4" t="inlineStr">
        <is>
          <t>NER-ENERGYCO-2026-FEEDBACK</t>
        </is>
      </c>
      <c r="P264" s="4" t="inlineStr">
        <is>
          <t>38, 39, 50</t>
        </is>
      </c>
      <c r="Q264" s="4" t="inlineStr">
        <is>
          <t>The final easement will be around 140m wide, generally 70m for each 500kV line.</t>
        </is>
      </c>
      <c r="R264" s="4" t="inlineStr"/>
      <c r="S264" s="4" t="inlineStr">
        <is>
          <t>Also stated at p38 ('additional 140m-wide easement...generally 70m wide for each 500kV line') and p39 ('the 140m-wide transmission easement required for twin 500kV lines'). This report names the separately published Bulk Corridor Design Refinement Report (November 2025) but does not reproduce its route-length table; no '305' figure or Table E1 appears anywhere in this derivative.</t>
        </is>
      </c>
    </row>
    <row r="265">
      <c r="A265" s="4" t="inlineStr">
        <is>
          <t>New England REZ Network Infrastructure Project</t>
        </is>
      </c>
      <c r="B265" s="4" t="inlineStr">
        <is>
          <t>NER-PROJECT-NIP</t>
        </is>
      </c>
      <c r="C265" s="4" t="inlineStr">
        <is>
          <t>NER-AO-2021-GAZETTE-8GW</t>
        </is>
      </c>
      <c r="D265" s="4" t="inlineStr">
        <is>
          <t>capacity</t>
        </is>
      </c>
      <c r="E265" s="4" t="inlineStr">
        <is>
          <t>2021-12-17</t>
        </is>
      </c>
      <c r="F265" s="4" t="inlineStr">
        <is>
          <t>Gazette declaration of intended network capacity for the New England REZ</t>
        </is>
      </c>
      <c r="G265" s="4" t="n">
        <v>8000</v>
      </c>
      <c r="H265" s="4" t="inlineStr">
        <is>
          <t>MW</t>
        </is>
      </c>
      <c r="I265" s="4" t="n"/>
      <c r="J265" s="4" t="n"/>
      <c r="K265" s="4" t="n"/>
      <c r="L265" s="4" t="inlineStr">
        <is>
          <t>statutory declaration, primary instrument</t>
        </is>
      </c>
      <c r="M265" s="4" t="inlineStr">
        <is>
          <t>Declared New England REZ statutory area (specified geographical area and Schedule 2 network infrastructure), not the NIP delivery scope</t>
        </is>
      </c>
      <c r="N265" s="4" t="inlineStr">
        <is>
          <t>Primary-source confirmation of the 8,000 MW figure AEMO and EnergyCo report; not the NIP's currently targeted 6,000 MW delivery capacity</t>
        </is>
      </c>
      <c r="O265" s="4" t="inlineStr">
        <is>
          <t>NER-NSWGOV-2021-GAZETTE-643</t>
        </is>
      </c>
      <c r="P265" s="4" t="inlineStr">
        <is>
          <t>3</t>
        </is>
      </c>
      <c r="Q265" s="4" t="inlineStr">
        <is>
          <t>The intended network capacity for network infrastructure in the New England renewable energy zone is 8 gigawatts.</t>
        </is>
      </c>
      <c r="R265" s="4" t="inlineStr">
        <is>
          <t>selected</t>
        </is>
      </c>
      <c r="S265" s="4" t="inlineStr">
        <is>
          <t>Renewable Energy Zone (New England) Order 2021, made under s19(1) of the Electricity Infrastructure Investment Act 2020 (NSW) by Matthew Kean MP, Minister for Energy and Environment, published in NSW Government Gazette No 643, 17 December 2021 [n2021-2771]. Supersedes reliance on AEMO's/EnergyCo's secondary accounts for this figure; see NER-AO-2026-DECL-8GW.</t>
        </is>
      </c>
    </row>
    <row r="266">
      <c r="A266" s="4" t="inlineStr">
        <is>
          <t>New England REZ Network Infrastructure Project</t>
        </is>
      </c>
      <c r="B266" s="4" t="inlineStr">
        <is>
          <t>NER-PROJECT-NIP</t>
        </is>
      </c>
      <c r="C266" s="4" t="inlineStr">
        <is>
          <t>NER-AO-2025-BULKCORRIDOR-LEN-NEW</t>
        </is>
      </c>
      <c r="D266" s="4" t="inlineStr">
        <is>
          <t>trunk_km</t>
        </is>
      </c>
      <c r="E266" s="4" t="inlineStr">
        <is>
          <t>2025-11</t>
        </is>
      </c>
      <c r="F266" s="4" t="inlineStr">
        <is>
          <t>New study corridor total length of transmission corridor (Table E-1 / Table 6-1)</t>
        </is>
      </c>
      <c r="G266" s="4" t="n">
        <v>305</v>
      </c>
      <c r="H266" s="4" t="inlineStr">
        <is>
          <t>km</t>
        </is>
      </c>
      <c r="I266" s="4" t="n"/>
      <c r="J266" s="4" t="n"/>
      <c r="K266" s="4" t="n"/>
      <c r="L266" s="4" t="inlineStr">
        <is>
          <t>comparative assessment metric for a recommended, not-yet-finalised corridor option</t>
        </is>
      </c>
      <c r="M266" s="4" t="inlineStr">
        <is>
          <t>New study corridor (the option this report recommends for stakeholder engagement, detailed environmental assessment and Reference Design development), total length of transmission corridor, metrics current as of Jul-25</t>
        </is>
      </c>
      <c r="N266" s="4" t="inlineStr">
        <is>
          <t>Matches the chart's 305 km trunk_km cell in value, but as a corridor length for a recommended-but-not-yet-finalised option, not a settled project or line route length; the corridor narrows to a final 140 m easement (generally 70 m per 500 kV line) once selected</t>
        </is>
      </c>
      <c r="O266" s="4" t="inlineStr">
        <is>
          <t>NER-ENERGYCO-2025-BULKCORRIDOR</t>
        </is>
      </c>
      <c r="P266" s="4" t="inlineStr">
        <is>
          <t>16, 48</t>
        </is>
      </c>
      <c r="Q266" s="4" t="inlineStr">
        <is>
          <t>Metric  Refined PSC New study corridor 
Length 346 km 305 km</t>
        </is>
      </c>
      <c r="R266" s="4" t="inlineStr">
        <is>
          <t>selected</t>
        </is>
      </c>
      <c r="S266" s="4" t="inlineStr">
        <is>
          <t>Table E-1 (p16, Jul-25 constructability statistics) and Table 6-1 (p48, main body) both state the same figures under headings 'Refined PSC' and 'New study corridor'.</t>
        </is>
      </c>
    </row>
    <row r="267">
      <c r="A267" s="4" t="inlineStr">
        <is>
          <t>New England REZ Network Infrastructure Project</t>
        </is>
      </c>
      <c r="B267" s="4" t="inlineStr">
        <is>
          <t>NER-PROJECT-NIP</t>
        </is>
      </c>
      <c r="C267" s="4" t="inlineStr">
        <is>
          <t>NER-AO-2025-BULKCORRIDOR-LEN-REFINED</t>
        </is>
      </c>
      <c r="D267" s="4" t="inlineStr">
        <is>
          <t>trunk_km</t>
        </is>
      </c>
      <c r="E267" s="4" t="inlineStr">
        <is>
          <t>2025-11</t>
        </is>
      </c>
      <c r="F267" s="4" t="inlineStr">
        <is>
          <t>Refined PSC (existing preferred study corridor with localised refinements) total length of transmission corridor</t>
        </is>
      </c>
      <c r="G267" s="4" t="n">
        <v>346</v>
      </c>
      <c r="H267" s="4" t="inlineStr">
        <is>
          <t>km</t>
        </is>
      </c>
      <c r="I267" s="4" t="n"/>
      <c r="J267" s="4" t="n"/>
      <c r="K267" s="4" t="n"/>
      <c r="L267" s="4" t="inlineStr">
        <is>
          <t>comparative assessment metric for the alternative, non-recommended corridor option</t>
        </is>
      </c>
      <c r="M267" s="4" t="inlineStr">
        <is>
          <t>Refined PSC, the existing corridor option this report does not recommend, same Table E-1/6-1 metric as the 305 km figure</t>
        </is>
      </c>
      <c r="N267" s="4" t="inlineStr">
        <is>
          <t>The alternative, non-recommended corridor length on the same metric as the 305 km figure; not additive with or averaged against it</t>
        </is>
      </c>
      <c r="O267" s="4" t="inlineStr">
        <is>
          <t>NER-ENERGYCO-2025-BULKCORRIDOR</t>
        </is>
      </c>
      <c r="P267" s="4" t="inlineStr">
        <is>
          <t>16, 48</t>
        </is>
      </c>
      <c r="Q267" s="4" t="inlineStr">
        <is>
          <t>Metric  Refined PSC New study corridor 
Length 346 km 305 km</t>
        </is>
      </c>
      <c r="R267" s="4" t="inlineStr"/>
      <c r="S267" s="4" t="inlineStr">
        <is>
          <t>The report recommends proceeding with the new study corridor (305 km) over the Refined PSC (346 km); see NER-AO-2025-BULKCORRIDOR-RECOMMEND.</t>
        </is>
      </c>
    </row>
    <row r="268">
      <c r="A268" s="4" t="inlineStr">
        <is>
          <t>New England REZ Network Infrastructure Project</t>
        </is>
      </c>
      <c r="B268" s="4" t="inlineStr">
        <is>
          <t>NER-PROJECT-NIP</t>
        </is>
      </c>
      <c r="C268" s="4" t="inlineStr">
        <is>
          <t>NER-AO-2025-BULKCORRIDOR-PROJECT-LENGTH</t>
        </is>
      </c>
      <c r="D268" s="4" t="inlineStr">
        <is>
          <t>trunk_km</t>
        </is>
      </c>
      <c r="E268" s="4" t="inlineStr">
        <is>
          <t>2025-11</t>
        </is>
      </c>
      <c r="F268" s="4" t="inlineStr">
        <is>
          <t>Overall project length as stated in the report's introduction</t>
        </is>
      </c>
      <c r="G268" s="4" t="n">
        <v>350</v>
      </c>
      <c r="H268" s="4" t="inlineStr">
        <is>
          <t>km</t>
        </is>
      </c>
      <c r="I268" s="4" t="n"/>
      <c r="J268" s="4" t="n"/>
      <c r="K268" s="4" t="n"/>
      <c r="L268" s="4" t="inlineStr">
        <is>
          <t>approximate, rounded description</t>
        </is>
      </c>
      <c r="M268" s="4" t="inlineStr">
        <is>
          <t>Whole project, transmission corridor extending from Bayswater Power Station into the New England REZ; not tied to either the 305 km or 346 km corridor-option figures</t>
        </is>
      </c>
      <c r="N268" s="4" t="inlineStr">
        <is>
          <t>A rounded, high-level figure distinct from and not reconciled with either the 305 km or 346 km Table E-1/6-1 corridor-option lengths</t>
        </is>
      </c>
      <c r="O268" s="4" t="inlineStr">
        <is>
          <t>NER-ENERGYCO-2025-BULKCORRIDOR</t>
        </is>
      </c>
      <c r="P268" s="4" t="inlineStr">
        <is>
          <t>8, 24</t>
        </is>
      </c>
      <c r="Q268" s="4" t="inlineStr">
        <is>
          <t>The project is currently about 350 kilometres in length, with the transmission corridor extending from the Bayswater Power Station in the Hunter region of NSW</t>
        </is>
      </c>
      <c r="R268" s="4" t="inlineStr"/>
      <c r="S268" s="4" t="inlineStr">
        <is>
          <t>Restated near-identically at p24: 'The project is about 350 kilometres in length, with the transmission corridor extending from the Bayswater Power Station...'.</t>
        </is>
      </c>
    </row>
    <row r="269">
      <c r="A269" s="4" t="inlineStr">
        <is>
          <t>New England REZ Network Infrastructure Project</t>
        </is>
      </c>
      <c r="B269" s="4" t="inlineStr">
        <is>
          <t>NER-PROJECT-NIP</t>
        </is>
      </c>
      <c r="C269" s="4" t="inlineStr">
        <is>
          <t>NER-AO-2025-BULKCORRIDOR-RECOMMEND</t>
        </is>
      </c>
      <c r="D269" s="4" t="inlineStr">
        <is>
          <t>other</t>
        </is>
      </c>
      <c r="E269" s="4" t="inlineStr">
        <is>
          <t>2025-11</t>
        </is>
      </c>
      <c r="F269" s="4" t="inlineStr">
        <is>
          <t>Recommendation to proceed with the new study corridor (305 km option)</t>
        </is>
      </c>
      <c r="G269" s="4" t="inlineStr">
        <is>
          <t>recommended: new study corridor</t>
        </is>
      </c>
      <c r="H269" s="4" t="inlineStr">
        <is>
          <t>text</t>
        </is>
      </c>
      <c r="I269" s="4" t="n"/>
      <c r="J269" s="4" t="n"/>
      <c r="K269" s="4" t="n"/>
      <c r="L269" s="4" t="inlineStr">
        <is>
          <t>report recommendation, not yet a final decision</t>
        </is>
      </c>
      <c r="M269" s="4" t="inlineStr">
        <is>
          <t>Whole project bulk corridor selection</t>
        </is>
      </c>
      <c r="N269" s="4" t="inlineStr">
        <is>
          <t>Explains why the 305 km option is the one being carried forward, but confirms it is a recommendation, not yet a finalised route</t>
        </is>
      </c>
      <c r="O269" s="4" t="inlineStr">
        <is>
          <t>NER-ENERGYCO-2025-BULKCORRIDOR</t>
        </is>
      </c>
      <c r="P269" s="4" t="inlineStr">
        <is>
          <t>19</t>
        </is>
      </c>
      <c r="Q269" s="4" t="inlineStr">
        <is>
          <t>It is recommended that the project proceed with the new study corridor for stakeholder 
engagement, detailed environmental assessment and Reference Design development.</t>
        </is>
      </c>
      <c r="R269" s="4" t="inlineStr"/>
      <c r="S269" s="4" t="inlineStr">
        <is>
          <t>Executive summary (p7) states the report 'recommends proceeding with the new study corridor'; an independent review panel found the new study corridor preferable on constructability grounds (p19).</t>
        </is>
      </c>
    </row>
    <row r="270">
      <c r="A270" s="4" t="inlineStr">
        <is>
          <t>New England REZ Network Infrastructure Project</t>
        </is>
      </c>
      <c r="B270" s="4" t="inlineStr">
        <is>
          <t>NER-PROJECT-NIP</t>
        </is>
      </c>
      <c r="C270" s="4" t="inlineStr">
        <is>
          <t>NER-AO-2025-BULKCORRIDOR-HUBS-FIVE</t>
        </is>
      </c>
      <c r="D270" s="4" t="inlineStr">
        <is>
          <t>hubs</t>
        </is>
      </c>
      <c r="E270" s="4" t="inlineStr">
        <is>
          <t>2025-10</t>
        </is>
      </c>
      <c r="F270" s="4" t="inlineStr">
        <is>
          <t>Explanation of hub count increase from four to five (Central hub split into Central Hub A and Central Hub B)</t>
        </is>
      </c>
      <c r="G270" s="4" t="n">
        <v>5</v>
      </c>
      <c r="H270" s="4" t="inlineStr">
        <is>
          <t>count</t>
        </is>
      </c>
      <c r="I270" s="4" t="n"/>
      <c r="J270" s="4" t="n"/>
      <c r="K270" s="4" t="n"/>
      <c r="L270" s="4" t="inlineStr">
        <is>
          <t>footnote clarification of the project description</t>
        </is>
      </c>
      <c r="M270" s="4" t="inlineStr">
        <is>
          <t>Whole project hub count, following the October 2025 split of the Central hub into Central Hub A and Central Hub B</t>
        </is>
      </c>
      <c r="N270" s="4" t="inlineStr">
        <is>
          <t>Directly corroborates the 2026 ISP's five-hub scope list (NER-AO-2026-HUBS) and explains the earlier four-hub description in this same report's main text (p25) and in EnergyCo's 2023 strategy (CWO-04)</t>
        </is>
      </c>
      <c r="O270" s="4" t="inlineStr">
        <is>
          <t>NER-ENERGYCO-2025-BULKCORRIDOR</t>
        </is>
      </c>
      <c r="P270" s="4" t="inlineStr">
        <is>
          <t>25</t>
        </is>
      </c>
      <c r="Q270" s="4" t="inlineStr">
        <is>
          <t>The total number of energy hubs has increased to five following the splitting of central hub into two substations (central hub A and 
central hub B) in October 2025.</t>
        </is>
      </c>
      <c r="R270" s="4" t="inlineStr"/>
      <c r="S270" s="4" t="inlineStr">
        <is>
          <t>The main body text on the same page describes 'Four energy hubs' before this footnote (footnote 2) updates the count to five as of October 2025.</t>
        </is>
      </c>
    </row>
    <row r="271">
      <c r="A271" s="4" t="inlineStr">
        <is>
          <t>New England REZ Network Infrastructure Project</t>
        </is>
      </c>
      <c r="B271" s="4" t="inlineStr">
        <is>
          <t>NER-PROJECT-NIP</t>
        </is>
      </c>
      <c r="C271" s="4" t="inlineStr">
        <is>
          <t>NER-AO-2025-BULKCORRIDOR-LINES-DUAL</t>
        </is>
      </c>
      <c r="D271" s="4" t="inlineStr">
        <is>
          <t>lines</t>
        </is>
      </c>
      <c r="E271" s="4" t="inlineStr">
        <is>
          <t>2025-11</t>
        </is>
      </c>
      <c r="F271" s="4" t="inlineStr">
        <is>
          <t>Dual 500 kV transmission lines connecting to the NSW transmission network near Muswellbrook</t>
        </is>
      </c>
      <c r="G271" s="4" t="n">
        <v>2</v>
      </c>
      <c r="H271" s="4" t="inlineStr">
        <is>
          <t>count</t>
        </is>
      </c>
      <c r="I271" s="4" t="n"/>
      <c r="J271" s="4" t="n"/>
      <c r="K271" s="4" t="n"/>
      <c r="L271" s="4" t="inlineStr">
        <is>
          <t>project description</t>
        </is>
      </c>
      <c r="M271" s="4" t="inlineStr">
        <is>
          <t>New dual 500 kV lines connecting to the NSW transmission network near Muswellbrook; excludes the separate single 500 kV/330 kV lines to energy hubs described in the same sentence</t>
        </is>
      </c>
      <c r="N271" s="4" t="inlineStr">
        <is>
          <t>Corroborates the two 500 kV lines described in EnergyCo's 2025 consultation paper (NER-AO-2025-CONSULT-LINES) connecting to Bayswater/Muswellbrook</t>
        </is>
      </c>
      <c r="O271" s="4" t="inlineStr">
        <is>
          <t>NER-ENERGYCO-2025-BULKCORRIDOR</t>
        </is>
      </c>
      <c r="P271" s="4" t="inlineStr">
        <is>
          <t>24</t>
        </is>
      </c>
      <c r="Q271" s="4" t="inlineStr">
        <is>
          <t>New transmission infrastructure including new dual 500 kilovolt (kV) transmission lines 
and associated infrastructure to connect the New England REZ to the NSW transmission 
network</t>
        </is>
      </c>
      <c r="R271" s="4" t="inlineStr"/>
      <c r="S271" s="4" t="inlineStr">
        <is>
          <t>The same sentence continues: 'and new single 500 kV and 330 kV transmission lines to connect to energy hubs and one switching station within the New England REZ' (p24-25); those single lines are a separate, unenumerated boundary not counted here.</t>
        </is>
      </c>
    </row>
    <row r="272">
      <c r="A272" s="4" t="inlineStr">
        <is>
          <t>Project EnergyConnect</t>
        </is>
      </c>
      <c r="B272" s="4" t="inlineStr">
        <is>
          <t>PEC-PROJECT-PEC</t>
        </is>
      </c>
      <c r="C272" s="4" t="inlineStr">
        <is>
          <t>PEC-AO-2020-ISP-RANGE-LOW</t>
        </is>
      </c>
      <c r="D272" s="4" t="inlineStr">
        <is>
          <t>cost</t>
        </is>
      </c>
      <c r="E272" s="4" t="inlineStr">
        <is>
          <t>2020-07</t>
        </is>
      </c>
      <c r="F272" s="4" t="inlineStr">
        <is>
          <t>AEMO 2020 ISP capital cost estimate, lower bound</t>
        </is>
      </c>
      <c r="G272" s="4" t="n">
        <v>1393</v>
      </c>
      <c r="H272" s="4" t="inlineStr">
        <is>
          <t>AUD million</t>
        </is>
      </c>
      <c r="I272" s="4" t="n"/>
      <c r="J272" s="4" t="n"/>
      <c r="K272" s="4" t="n"/>
      <c r="L272" s="4" t="inlineStr">
        <is>
          <t>planner estimate range (lower bound)</t>
        </is>
      </c>
      <c r="M272" s="4" t="inlineStr">
        <is>
          <t>Project EnergyConnect as an actionable ISP candidate option (both jurisdictions)</t>
        </is>
      </c>
      <c r="N272" s="4" t="inlineStr">
        <is>
          <t>Planner range for the actionable ISP option; no dollar year stated in the entry; not like-for-like with AER 2017-18 forecasts</t>
        </is>
      </c>
      <c r="O272" s="4" t="inlineStr">
        <is>
          <t>HUM-AEMO-2020-ISP-A3</t>
        </is>
      </c>
      <c r="P272" s="4" t="inlineStr">
        <is>
          <t>27</t>
        </is>
      </c>
      <c r="Q272" s="4" t="inlineStr">
        <is>
          <t>Cost The capital cost estimate is $1,393 million to $2,587 million.</t>
        </is>
      </c>
      <c r="R272" s="4" t="inlineStr"/>
      <c r="S272" s="4" t="inlineStr">
        <is>
          <t>Dollar year not stated in the project entry; see PRICE_BASIS_UNKNOWN.</t>
        </is>
      </c>
    </row>
    <row r="273">
      <c r="A273" s="4" t="inlineStr">
        <is>
          <t>Project EnergyConnect</t>
        </is>
      </c>
      <c r="B273" s="4" t="inlineStr">
        <is>
          <t>PEC-PROJECT-PEC</t>
        </is>
      </c>
      <c r="C273" s="4" t="inlineStr">
        <is>
          <t>PEC-AO-2020-ISP-RANGE-HIGH</t>
        </is>
      </c>
      <c r="D273" s="4" t="inlineStr">
        <is>
          <t>cost</t>
        </is>
      </c>
      <c r="E273" s="4" t="inlineStr">
        <is>
          <t>2020-07</t>
        </is>
      </c>
      <c r="F273" s="4" t="inlineStr">
        <is>
          <t>AEMO 2020 ISP capital cost estimate, upper bound</t>
        </is>
      </c>
      <c r="G273" s="4" t="n">
        <v>2587</v>
      </c>
      <c r="H273" s="4" t="inlineStr">
        <is>
          <t>AUD million</t>
        </is>
      </c>
      <c r="I273" s="4" t="n"/>
      <c r="J273" s="4" t="n"/>
      <c r="K273" s="4" t="n"/>
      <c r="L273" s="4" t="inlineStr">
        <is>
          <t>planner estimate range (upper bound)</t>
        </is>
      </c>
      <c r="M273" s="4" t="inlineStr">
        <is>
          <t>Project EnergyConnect as an actionable ISP candidate option (both jurisdictions)</t>
        </is>
      </c>
      <c r="N273" s="4" t="inlineStr">
        <is>
          <t>Planner range for the actionable ISP option; no dollar year stated in the entry; not like-for-like with AER 2017-18 forecasts</t>
        </is>
      </c>
      <c r="O273" s="4" t="inlineStr">
        <is>
          <t>HUM-AEMO-2020-ISP-A3</t>
        </is>
      </c>
      <c r="P273" s="4" t="inlineStr">
        <is>
          <t>27</t>
        </is>
      </c>
      <c r="Q273" s="4" t="inlineStr">
        <is>
          <t>Cost The capital cost estimate is $1,393 million to $2,587 million.</t>
        </is>
      </c>
      <c r="R273" s="4" t="inlineStr"/>
      <c r="S273" s="4" t="inlineStr">
        <is>
          <t>Dollar year not stated in the project entry; see PRICE_BASIS_UNKNOWN.</t>
        </is>
      </c>
    </row>
    <row r="274">
      <c r="A274" s="4" t="inlineStr">
        <is>
          <t>Project EnergyConnect</t>
        </is>
      </c>
      <c r="B274" s="4" t="inlineStr">
        <is>
          <t>PEC-PROJECT-PEC</t>
        </is>
      </c>
      <c r="C274" s="4" t="inlineStr">
        <is>
          <t>PEC-AO-2020-TG-APP-CAPEX</t>
        </is>
      </c>
      <c r="D274" s="4" t="inlineStr">
        <is>
          <t>cost</t>
        </is>
      </c>
      <c r="E274" s="4" t="inlineStr">
        <is>
          <t>2020-06-29</t>
        </is>
      </c>
      <c r="F274" s="4" t="inlineStr">
        <is>
          <t>TransGrid principal application forecast capex (NSW component)</t>
        </is>
      </c>
      <c r="G274" s="4" t="n">
        <v>2290.9</v>
      </c>
      <c r="H274" s="4" t="inlineStr">
        <is>
          <t>AUD million</t>
        </is>
      </c>
      <c r="I274" s="4" t="inlineStr">
        <is>
          <t>Real 2017-18</t>
        </is>
      </c>
      <c r="J274" s="4" t="n"/>
      <c r="K274" s="4" t="n"/>
      <c r="L274" s="4" t="inlineStr">
        <is>
          <t>owner proposal / forecast capex</t>
        </is>
      </c>
      <c r="M274" s="4" t="inlineStr">
        <is>
          <t>TransGrid (NSW) component of Project EnergyConnect, 2018-23 regulatory period</t>
        </is>
      </c>
      <c r="N274" s="4" t="inlineStr">
        <is>
          <t>Owner proposal for the NSW component only; superseded by TransGrid's April 2021 revised proposal; not comparable with the SA component</t>
        </is>
      </c>
      <c r="O274" s="4" t="inlineStr">
        <is>
          <t>PEC-AER-2020-TRANSGRID-APPLICATION</t>
        </is>
      </c>
      <c r="P274" s="4" t="inlineStr">
        <is>
          <t>23</t>
        </is>
      </c>
      <c r="Q274" s="4" t="inlineStr">
        <is>
          <t>Table 4 details our current total capex forecast of $2,290.9 million (Real 2017-18) for our component of the</t>
        </is>
      </c>
      <c r="R274" s="4" t="inlineStr"/>
      <c r="S274" s="4" t="inlineStr">
        <is>
          <t>Comprises $1,826.8m tendered works, $122.1m project risks, $342.0m other costs.</t>
        </is>
      </c>
    </row>
    <row r="275">
      <c r="A275" s="4" t="inlineStr">
        <is>
          <t>Project EnergyConnect</t>
        </is>
      </c>
      <c r="B275" s="4" t="inlineStr">
        <is>
          <t>PEC-PROJECT-PEC</t>
        </is>
      </c>
      <c r="C275" s="4" t="inlineStr">
        <is>
          <t>PEC-AO-2020-EN-APP-CAPEX</t>
        </is>
      </c>
      <c r="D275" s="4" t="inlineStr">
        <is>
          <t>cost</t>
        </is>
      </c>
      <c r="E275" s="4" t="inlineStr">
        <is>
          <t>2020-09-30</t>
        </is>
      </c>
      <c r="F275" s="4" t="inlineStr">
        <is>
          <t>ElectraNet application capital expenditure forecast (SA component)</t>
        </is>
      </c>
      <c r="G275" s="4" t="n">
        <v>470.7</v>
      </c>
      <c r="H275" s="4" t="inlineStr">
        <is>
          <t>AUD million</t>
        </is>
      </c>
      <c r="I275" s="4" t="inlineStr">
        <is>
          <t>$2017-18</t>
        </is>
      </c>
      <c r="J275" s="4" t="n"/>
      <c r="K275" s="4" t="n"/>
      <c r="L275" s="4" t="inlineStr">
        <is>
          <t>owner proposal / forecast capex</t>
        </is>
      </c>
      <c r="M275" s="4" t="inlineStr">
        <is>
          <t>ElectraNet (SA) component of Project EnergyConnect</t>
        </is>
      </c>
      <c r="N275" s="4" t="inlineStr">
        <is>
          <t>Owner proposal for the SA component only; excludes $3.3m prior period expenditure; not comparable with the NSW component</t>
        </is>
      </c>
      <c r="O275" s="4" t="inlineStr">
        <is>
          <t>PEC-AER-2020-ELECTRANET-APPLICATION</t>
        </is>
      </c>
      <c r="P275" s="4" t="inlineStr">
        <is>
          <t>4</t>
        </is>
      </c>
      <c r="Q275" s="4" t="inlineStr">
        <is>
          <t>application is $470.7 million ($2017-18). Competitive market pricing makes up most of these costs.</t>
        </is>
      </c>
      <c r="R275" s="4" t="inlineStr"/>
      <c r="S275" s="4" t="inlineStr">
        <is>
          <t>Source footnote: excludes prior period expenditure of approximately $3.3 million already in the RAB.</t>
        </is>
      </c>
    </row>
    <row r="276">
      <c r="A276" s="4" t="inlineStr">
        <is>
          <t>Project EnergyConnect</t>
        </is>
      </c>
      <c r="B276" s="4" t="inlineStr">
        <is>
          <t>PEC-PROJECT-PEC</t>
        </is>
      </c>
      <c r="C276" s="4" t="inlineStr">
        <is>
          <t>PEC-AO-2021-TG-PROPOSED</t>
        </is>
      </c>
      <c r="D276" s="4" t="inlineStr">
        <is>
          <t>cost</t>
        </is>
      </c>
      <c r="E276" s="4" t="inlineStr">
        <is>
          <t>2021-04</t>
        </is>
      </c>
      <c r="F276" s="4" t="inlineStr">
        <is>
          <t>TransGrid revised proposed capex (NSW component)</t>
        </is>
      </c>
      <c r="G276" s="4" t="n">
        <v>1866.3</v>
      </c>
      <c r="H276" s="4" t="inlineStr">
        <is>
          <t>AUD million</t>
        </is>
      </c>
      <c r="I276" s="4" t="inlineStr">
        <is>
          <t>$2017-18</t>
        </is>
      </c>
      <c r="J276" s="4" t="n"/>
      <c r="K276" s="4" t="n"/>
      <c r="L276" s="4" t="inlineStr">
        <is>
          <t>owner proposal as recorded by the AER</t>
        </is>
      </c>
      <c r="M276" s="4" t="inlineStr">
        <is>
          <t>TransGrid (NSW) component of Project EnergyConnect</t>
        </is>
      </c>
      <c r="N276" s="4" t="inlineStr">
        <is>
          <t>Owner proposal, not a regulator decision; NSW boundary only</t>
        </is>
      </c>
      <c r="O276" s="4" t="inlineStr">
        <is>
          <t>PEC-AER-2021-TRANSGRID-DECISION</t>
        </is>
      </c>
      <c r="P276" s="4" t="inlineStr">
        <is>
          <t>5</t>
        </is>
      </c>
      <c r="Q276" s="4" t="inlineStr">
        <is>
          <t>contingent project. TransGrid reduced this to $1,866.3 million in its April 2021</t>
        </is>
      </c>
      <c r="R276" s="4" t="inlineStr"/>
      <c r="S276" s="4" t="inlineStr"/>
    </row>
    <row r="277">
      <c r="A277" s="4" t="inlineStr">
        <is>
          <t>Project EnergyConnect</t>
        </is>
      </c>
      <c r="B277" s="4" t="inlineStr">
        <is>
          <t>PEC-PROJECT-PEC</t>
        </is>
      </c>
      <c r="C277" s="4" t="inlineStr">
        <is>
          <t>PEC-AO-2021-EN-PROPOSED</t>
        </is>
      </c>
      <c r="D277" s="4" t="inlineStr">
        <is>
          <t>cost</t>
        </is>
      </c>
      <c r="E277" s="4" t="inlineStr">
        <is>
          <t>2021-05-28</t>
        </is>
      </c>
      <c r="F277" s="4" t="inlineStr">
        <is>
          <t>ElectraNet proposed capex (SA component)</t>
        </is>
      </c>
      <c r="G277" s="4" t="n">
        <v>468.6</v>
      </c>
      <c r="H277" s="4" t="inlineStr">
        <is>
          <t>AUD million</t>
        </is>
      </c>
      <c r="I277" s="4" t="inlineStr">
        <is>
          <t>$2017-18</t>
        </is>
      </c>
      <c r="J277" s="4" t="n"/>
      <c r="K277" s="4" t="n"/>
      <c r="L277" s="4" t="inlineStr">
        <is>
          <t>owner proposal as recorded by the AER</t>
        </is>
      </c>
      <c r="M277" s="4" t="inlineStr">
        <is>
          <t>ElectraNet (SA) component of Project EnergyConnect</t>
        </is>
      </c>
      <c r="N277" s="4" t="inlineStr">
        <is>
          <t>Owner proposal, not a regulator decision; SA boundary only</t>
        </is>
      </c>
      <c r="O277" s="4" t="inlineStr">
        <is>
          <t>PEC-AER-2021-ELECTRANET-DECISION</t>
        </is>
      </c>
      <c r="P277" s="4" t="inlineStr">
        <is>
          <t>3</t>
        </is>
      </c>
      <c r="Q277" s="4" t="inlineStr">
        <is>
          <t>project of $468.6 million ($2017-18). This component of the project is proposed to</t>
        </is>
      </c>
      <c r="R277" s="4" t="inlineStr"/>
      <c r="S277" s="4" t="inlineStr"/>
    </row>
    <row r="278">
      <c r="A278" s="4" t="inlineStr">
        <is>
          <t>Project EnergyConnect</t>
        </is>
      </c>
      <c r="B278" s="4" t="inlineStr">
        <is>
          <t>PEC-PROJECT-PEC</t>
        </is>
      </c>
      <c r="C278" s="4" t="inlineStr">
        <is>
          <t>PEC-AO-2021-AER-EN-CAPEX</t>
        </is>
      </c>
      <c r="D278" s="4" t="inlineStr">
        <is>
          <t>cost</t>
        </is>
      </c>
      <c r="E278" s="4" t="inlineStr">
        <is>
          <t>2021-05-28</t>
        </is>
      </c>
      <c r="F278" s="4" t="inlineStr">
        <is>
          <t>AER forecast prudent and efficient capex, ElectraNet SA component</t>
        </is>
      </c>
      <c r="G278" s="4" t="n">
        <v>457.4</v>
      </c>
      <c r="H278" s="4" t="inlineStr">
        <is>
          <t>AUD million</t>
        </is>
      </c>
      <c r="I278" s="4" t="inlineStr">
        <is>
          <t>$2017-18</t>
        </is>
      </c>
      <c r="J278" s="4" t="n"/>
      <c r="K278" s="4" t="n"/>
      <c r="L278" s="4" t="inlineStr">
        <is>
          <t>AER determination / forecast capex</t>
        </is>
      </c>
      <c r="M278" s="4" t="inlineStr">
        <is>
          <t>ElectraNet (South Australian) component of Project EnergyConnect</t>
        </is>
      </c>
      <c r="N278" s="4" t="inlineStr">
        <is>
          <t>Regulated forecast allowance for the SA owner boundary only; not an outturn and not additive with the NSW determination without proving completeness and a common boundary</t>
        </is>
      </c>
      <c r="O278" s="4" t="inlineStr">
        <is>
          <t>PEC-AER-2021-ELECTRANET-DECISION</t>
        </is>
      </c>
      <c r="P278" s="4" t="inlineStr">
        <is>
          <t>3</t>
        </is>
      </c>
      <c r="Q278" s="4" t="inlineStr">
        <is>
          <t>Forecast capital expenditure ($2017-18) $457.4 million</t>
        </is>
      </c>
      <c r="R278" s="4" t="inlineStr"/>
      <c r="S278" s="4" t="inlineStr">
        <is>
          <t>AER states this is 2.3-2.4 per cent less than ElectraNet's proposal (pp5, 14).</t>
        </is>
      </c>
    </row>
    <row r="279">
      <c r="A279" s="4" t="inlineStr">
        <is>
          <t>Project EnergyConnect</t>
        </is>
      </c>
      <c r="B279" s="4" t="inlineStr">
        <is>
          <t>PEC-PROJECT-PEC</t>
        </is>
      </c>
      <c r="C279" s="4" t="inlineStr">
        <is>
          <t>PEC-AO-2021-AER-TG-CAPEX</t>
        </is>
      </c>
      <c r="D279" s="4" t="inlineStr">
        <is>
          <t>cost</t>
        </is>
      </c>
      <c r="E279" s="4" t="inlineStr">
        <is>
          <t>2021-05-28</t>
        </is>
      </c>
      <c r="F279" s="4" t="inlineStr">
        <is>
          <t>AER forecast prudent and efficient capex, TransGrid NSW component</t>
        </is>
      </c>
      <c r="G279" s="4" t="n">
        <v>1817.9</v>
      </c>
      <c r="H279" s="4" t="inlineStr">
        <is>
          <t>AUD million</t>
        </is>
      </c>
      <c r="I279" s="4" t="inlineStr">
        <is>
          <t>$2017-18</t>
        </is>
      </c>
      <c r="J279" s="4" t="n"/>
      <c r="K279" s="4" t="n"/>
      <c r="L279" s="4" t="inlineStr">
        <is>
          <t>AER determination / forecast capex</t>
        </is>
      </c>
      <c r="M279" s="4" t="inlineStr">
        <is>
          <t>TransGrid (New South Wales) component of Project EnergyConnect</t>
        </is>
      </c>
      <c r="N279" s="4" t="inlineStr">
        <is>
          <t>Regulated forecast allowance for the NSW owner boundary only; not an outturn and not additive with the SA determination without proving completeness and a common boundary</t>
        </is>
      </c>
      <c r="O279" s="4" t="inlineStr">
        <is>
          <t>PEC-AER-2021-TRANSGRID-DECISION</t>
        </is>
      </c>
      <c r="P279" s="4" t="inlineStr">
        <is>
          <t>3</t>
        </is>
      </c>
      <c r="Q279" s="4" t="inlineStr">
        <is>
          <t>Forecast capital expenditure ($2017-18) $1,817.9 million</t>
        </is>
      </c>
      <c r="R279" s="4" t="inlineStr"/>
      <c r="S279" s="4" t="inlineStr">
        <is>
          <t>AER states this is 2.6 per cent less than TransGrid's April 2021 proposal (p5).</t>
        </is>
      </c>
    </row>
    <row r="280">
      <c r="A280" s="4" t="inlineStr">
        <is>
          <t>Project EnergyConnect</t>
        </is>
      </c>
      <c r="B280" s="4" t="inlineStr">
        <is>
          <t>PEC-PROJECT-PEC</t>
        </is>
      </c>
      <c r="C280" s="4" t="inlineStr">
        <is>
          <t>PEC-AO-2021-AER-EN-OPEX</t>
        </is>
      </c>
      <c r="D280" s="4" t="inlineStr">
        <is>
          <t>cost</t>
        </is>
      </c>
      <c r="E280" s="4" t="inlineStr">
        <is>
          <t>2021-05-28</t>
        </is>
      </c>
      <c r="F280" s="4" t="inlineStr">
        <is>
          <t>AER forecast operating expenditure, ElectraNet SA component</t>
        </is>
      </c>
      <c r="G280" s="4" t="n">
        <v>0.5</v>
      </c>
      <c r="H280" s="4" t="inlineStr">
        <is>
          <t>AUD million</t>
        </is>
      </c>
      <c r="I280" s="4" t="inlineStr">
        <is>
          <t>$2017-18</t>
        </is>
      </c>
      <c r="J280" s="4" t="n"/>
      <c r="K280" s="4" t="n"/>
      <c r="L280" s="4" t="inlineStr">
        <is>
          <t>AER determination / forecast opex</t>
        </is>
      </c>
      <c r="M280" s="4" t="inlineStr">
        <is>
          <t>ElectraNet (SA) component, 2018-23 regulatory control period</t>
        </is>
      </c>
      <c r="N280" s="4" t="inlineStr">
        <is>
          <t>Opex, not capex; SA boundary only</t>
        </is>
      </c>
      <c r="O280" s="4" t="inlineStr">
        <is>
          <t>PEC-AER-2021-ELECTRANET-DECISION</t>
        </is>
      </c>
      <c r="P280" s="4" t="inlineStr">
        <is>
          <t>3</t>
        </is>
      </c>
      <c r="Q280" s="4" t="inlineStr">
        <is>
          <t>Forecast operating expenditure ($2017-18) $0.5 million</t>
        </is>
      </c>
      <c r="R280" s="4" t="inlineStr"/>
      <c r="S280" s="4" t="inlineStr"/>
    </row>
    <row r="281">
      <c r="A281" s="4" t="inlineStr">
        <is>
          <t>Project EnergyConnect</t>
        </is>
      </c>
      <c r="B281" s="4" t="inlineStr">
        <is>
          <t>PEC-PROJECT-PEC</t>
        </is>
      </c>
      <c r="C281" s="4" t="inlineStr">
        <is>
          <t>PEC-AO-2021-AER-TG-OPEX</t>
        </is>
      </c>
      <c r="D281" s="4" t="inlineStr">
        <is>
          <t>cost</t>
        </is>
      </c>
      <c r="E281" s="4" t="inlineStr">
        <is>
          <t>2021-05-28</t>
        </is>
      </c>
      <c r="F281" s="4" t="inlineStr">
        <is>
          <t>AER forecast operating expenditure, TransGrid NSW component</t>
        </is>
      </c>
      <c r="G281" s="4" t="n">
        <v>2.5</v>
      </c>
      <c r="H281" s="4" t="inlineStr">
        <is>
          <t>AUD million</t>
        </is>
      </c>
      <c r="I281" s="4" t="inlineStr">
        <is>
          <t>$2017-18</t>
        </is>
      </c>
      <c r="J281" s="4" t="n"/>
      <c r="K281" s="4" t="n"/>
      <c r="L281" s="4" t="inlineStr">
        <is>
          <t>AER determination / forecast opex</t>
        </is>
      </c>
      <c r="M281" s="4" t="inlineStr">
        <is>
          <t>TransGrid (NSW) component, 2018-23 regulatory control period</t>
        </is>
      </c>
      <c r="N281" s="4" t="inlineStr">
        <is>
          <t>Opex, not capex; NSW boundary only</t>
        </is>
      </c>
      <c r="O281" s="4" t="inlineStr">
        <is>
          <t>PEC-AER-2021-TRANSGRID-DECISION</t>
        </is>
      </c>
      <c r="P281" s="4" t="inlineStr">
        <is>
          <t>3</t>
        </is>
      </c>
      <c r="Q281" s="4" t="inlineStr">
        <is>
          <t>Forecast operating expenditure ($2017-18) $2.5 million</t>
        </is>
      </c>
      <c r="R281" s="4" t="inlineStr"/>
      <c r="S281" s="4" t="inlineStr"/>
    </row>
    <row r="282">
      <c r="A282" s="4" t="inlineStr">
        <is>
          <t>Project EnergyConnect</t>
        </is>
      </c>
      <c r="B282" s="4" t="inlineStr">
        <is>
          <t>PEC-PROJECT-PEC</t>
        </is>
      </c>
      <c r="C282" s="4" t="inlineStr">
        <is>
          <t>PEC-AO-2021-AER-WHOLE-PROJECT</t>
        </is>
      </c>
      <c r="D282" s="4" t="inlineStr">
        <is>
          <t>cost</t>
        </is>
      </c>
      <c r="E282" s="4" t="inlineStr">
        <is>
          <t>2021-05-28</t>
        </is>
      </c>
      <c r="F282" s="4" t="inlineStr">
        <is>
          <t>AER description of Project EnergyConnect as a $2.3 billion contingent project</t>
        </is>
      </c>
      <c r="G282" s="4" t="n">
        <v>2300</v>
      </c>
      <c r="H282" s="4" t="inlineStr">
        <is>
          <t>AUD million</t>
        </is>
      </c>
      <c r="I282" s="4" t="inlineStr">
        <is>
          <t>$2017-18</t>
        </is>
      </c>
      <c r="J282" s="4" t="n"/>
      <c r="K282" s="4" t="n"/>
      <c r="L282" s="4" t="inlineStr">
        <is>
          <t>regulator descriptive figure / proposal stage</t>
        </is>
      </c>
      <c r="M282" s="4" t="inlineStr">
        <is>
          <t>Whole Project EnergyConnect (both jurisdictions) as described by the AER</t>
        </is>
      </c>
      <c r="N282" s="4" t="inlineStr">
        <is>
          <t>Rounded descriptive whole-project proposal figure at May 2021; not a reconciled determination total and not an outturn</t>
        </is>
      </c>
      <c r="O282" s="4" t="inlineStr">
        <is>
          <t>PEC-AER-2021-TRANSGRID-DECISION</t>
        </is>
      </c>
      <c r="P282" s="4" t="inlineStr">
        <is>
          <t>8</t>
        </is>
      </c>
      <c r="Q282" s="4" t="inlineStr">
        <is>
          <t>Project EnergyConnect is a proposed $2.3 billion ($2017-18) contingent project to</t>
        </is>
      </c>
      <c r="R282" s="4" t="inlineStr"/>
      <c r="S282" s="4" t="inlineStr">
        <is>
          <t>The same sentence appears in the ElectraNet determination at physical page 7.</t>
        </is>
      </c>
    </row>
    <row r="283">
      <c r="A283" s="4" t="inlineStr">
        <is>
          <t>Project EnergyConnect</t>
        </is>
      </c>
      <c r="B283" s="4" t="inlineStr">
        <is>
          <t>PEC-PROJECT-PEC</t>
        </is>
      </c>
      <c r="C283" s="4" t="inlineStr">
        <is>
          <t>PEC-AO-2026-TG-SOCIAL-VALUE</t>
        </is>
      </c>
      <c r="D283" s="4" t="inlineStr">
        <is>
          <t>other</t>
        </is>
      </c>
      <c r="E283" s="4" t="inlineStr">
        <is>
          <t>2026-09-02</t>
        </is>
      </c>
      <c r="F283" s="4" t="inlineStr">
        <is>
          <t>Transgrid stated social value generated by EnergyConnect</t>
        </is>
      </c>
      <c r="G283" s="4" t="n">
        <v>4100</v>
      </c>
      <c r="H283" s="4" t="inlineStr">
        <is>
          <t>AUD million</t>
        </is>
      </c>
      <c r="I283" s="4" t="n"/>
      <c r="J283" s="4" t="n"/>
      <c r="K283" s="4" t="n"/>
      <c r="L283" s="4" t="inlineStr">
        <is>
          <t>owner claim / social value estimate</t>
        </is>
      </c>
      <c r="M283" s="4" t="inlineStr">
        <is>
          <t>Owner-stated social value, not project capital expenditure</t>
        </is>
      </c>
      <c r="N283" s="4" t="inlineStr">
        <is>
          <t>A social-value benefit estimate over June 2023 to June 2026; it is not a capital cost and must not be read as one</t>
        </is>
      </c>
      <c r="O283" s="4" t="inlineStr">
        <is>
          <t>PEC-TG-PROJECT-PAGE</t>
        </is>
      </c>
      <c r="P283" s="4" t="inlineStr">
        <is>
          <t>derivative line 1705 (Social Value Report block)</t>
        </is>
      </c>
      <c r="Q283" s="4" t="inlineStr">
        <is>
          <t>EnergyConnect generated an estimated $4.1 billion in social value from June 2023 to June 2026</t>
        </is>
      </c>
      <c r="R283" s="4" t="inlineStr"/>
      <c r="S283" s="4" t="inlineStr">
        <is>
          <t>This is the only $4.1 billion figure for PEC anywhere in the archive; see CHART_DERIVATION and AUTHOR_DECISION_REQUIRED warnings.</t>
        </is>
      </c>
    </row>
    <row r="284">
      <c r="A284" s="4" t="inlineStr">
        <is>
          <t>Project EnergyConnect</t>
        </is>
      </c>
      <c r="B284" s="4" t="inlineStr">
        <is>
          <t>PEC-PROJECT-PEC</t>
        </is>
      </c>
      <c r="C284" s="4" t="inlineStr">
        <is>
          <t>PEC-AO-2020-CAP-SANSW</t>
        </is>
      </c>
      <c r="D284" s="4" t="inlineStr">
        <is>
          <t>capacity</t>
        </is>
      </c>
      <c r="E284" s="4" t="inlineStr">
        <is>
          <t>2020-07</t>
        </is>
      </c>
      <c r="F284" s="4" t="inlineStr">
        <is>
          <t>AEMO 2020 approximate SA-NSW capability improvement</t>
        </is>
      </c>
      <c r="G284" s="4" t="n">
        <v>800</v>
      </c>
      <c r="H284" s="4" t="inlineStr">
        <is>
          <t>MW</t>
        </is>
      </c>
      <c r="I284" s="4" t="n"/>
      <c r="J284" s="4" t="n"/>
      <c r="K284" s="4" t="n"/>
      <c r="L284" s="4" t="inlineStr">
        <is>
          <t>planner estimate</t>
        </is>
      </c>
      <c r="M284" s="4" t="inlineStr">
        <is>
          <t>Whole Project EnergyConnect at time of peak demand, both directions</t>
        </is>
      </c>
      <c r="N284" s="4" t="inlineStr">
        <is>
          <t>2020 planner expectation for the full project; superseded by the staged 2024/2026 presentations</t>
        </is>
      </c>
      <c r="O284" s="4" t="inlineStr">
        <is>
          <t>HUM-AEMO-2020-ISP-A3</t>
        </is>
      </c>
      <c r="P284" s="4" t="inlineStr">
        <is>
          <t>27</t>
        </is>
      </c>
      <c r="Q284" s="4" t="inlineStr">
        <is>
          <t>SA to NSW (at time of peak demand, both directions) +800 MW</t>
        </is>
      </c>
      <c r="R284" s="4" t="inlineStr"/>
      <c r="S284" s="4" t="inlineStr"/>
    </row>
    <row r="285">
      <c r="A285" s="4" t="inlineStr">
        <is>
          <t>Project EnergyConnect</t>
        </is>
      </c>
      <c r="B285" s="4" t="inlineStr">
        <is>
          <t>PEC-PROJECT-PEC</t>
        </is>
      </c>
      <c r="C285" s="4" t="inlineStr">
        <is>
          <t>PEC-AO-2020-CAP-SAVIC</t>
        </is>
      </c>
      <c r="D285" s="4" t="inlineStr">
        <is>
          <t>capacity</t>
        </is>
      </c>
      <c r="E285" s="4" t="inlineStr">
        <is>
          <t>2020-07</t>
        </is>
      </c>
      <c r="F285" s="4" t="inlineStr">
        <is>
          <t>AEMO 2020 approximate SA-VIC capability improvement</t>
        </is>
      </c>
      <c r="G285" s="4" t="n">
        <v>100</v>
      </c>
      <c r="H285" s="4" t="inlineStr">
        <is>
          <t>MW</t>
        </is>
      </c>
      <c r="I285" s="4" t="n"/>
      <c r="J285" s="4" t="n"/>
      <c r="K285" s="4" t="n"/>
      <c r="L285" s="4" t="inlineStr">
        <is>
          <t>planner estimate</t>
        </is>
      </c>
      <c r="M285" s="4" t="inlineStr">
        <is>
          <t>SA-VIC at time of peak demand, both directions</t>
        </is>
      </c>
      <c r="N285" s="4" t="inlineStr">
        <is>
          <t>Separate interconnector boundary from the SA-NSW figure; not additive with it</t>
        </is>
      </c>
      <c r="O285" s="4" t="inlineStr">
        <is>
          <t>HUM-AEMO-2020-ISP-A3</t>
        </is>
      </c>
      <c r="P285" s="4" t="inlineStr">
        <is>
          <t>27</t>
        </is>
      </c>
      <c r="Q285" s="4" t="inlineStr">
        <is>
          <t>SA to VIC (at time of peak demand, both directions)A +100 MW</t>
        </is>
      </c>
      <c r="R285" s="4" t="inlineStr"/>
      <c r="S285" s="4" t="inlineStr"/>
    </row>
    <row r="286">
      <c r="A286" s="4" t="inlineStr">
        <is>
          <t>Project EnergyConnect</t>
        </is>
      </c>
      <c r="B286" s="4" t="inlineStr">
        <is>
          <t>PEC-PROJECT-PEC</t>
        </is>
      </c>
      <c r="C286" s="4" t="inlineStr">
        <is>
          <t>PEC-AO-2024-CAP-STAGE1</t>
        </is>
      </c>
      <c r="D286" s="4" t="inlineStr">
        <is>
          <t>capacity</t>
        </is>
      </c>
      <c r="E286" s="4" t="inlineStr">
        <is>
          <t>2024-06</t>
        </is>
      </c>
      <c r="F286" s="4" t="inlineStr">
        <is>
          <t>AEMO 2024 Stage 1 additional network capacity</t>
        </is>
      </c>
      <c r="G286" s="4" t="n">
        <v>150</v>
      </c>
      <c r="H286" s="4" t="inlineStr">
        <is>
          <t>MW</t>
        </is>
      </c>
      <c r="I286" s="4" t="n"/>
      <c r="J286" s="4" t="n"/>
      <c r="K286" s="4" t="n"/>
      <c r="L286" s="4" t="inlineStr">
        <is>
          <t>committed project scope, scheduled</t>
        </is>
      </c>
      <c r="M286" s="4" t="inlineStr">
        <is>
          <t>Stage 1, in both directions</t>
        </is>
      </c>
      <c r="N286" s="4" t="inlineStr">
        <is>
          <t>Stage 1 boundary only; the 2024 entry presents Stage 1 and Stage 2 as separate rows, not a project total</t>
        </is>
      </c>
      <c r="O286" s="4" t="inlineStr">
        <is>
          <t>HUM-AEMO-2024-ISP-A5</t>
        </is>
      </c>
      <c r="P286" s="4" t="inlineStr">
        <is>
          <t>17</t>
        </is>
      </c>
      <c r="Q286" s="4" t="inlineStr">
        <is>
          <t>150 MW</t>
        </is>
      </c>
      <c r="R286" s="4" t="inlineStr"/>
      <c r="S286" s="4" t="inlineStr">
        <is>
          <t>Table cell under 'Stage 1:' in the Additional network capacity (MW) column, physical p17.</t>
        </is>
      </c>
    </row>
    <row r="287">
      <c r="A287" s="4" t="inlineStr">
        <is>
          <t>Project EnergyConnect</t>
        </is>
      </c>
      <c r="B287" s="4" t="inlineStr">
        <is>
          <t>PEC-PROJECT-PEC</t>
        </is>
      </c>
      <c r="C287" s="4" t="inlineStr">
        <is>
          <t>PEC-AO-2024-CAP-STAGE2-NSWSA</t>
        </is>
      </c>
      <c r="D287" s="4" t="inlineStr">
        <is>
          <t>capacity</t>
        </is>
      </c>
      <c r="E287" s="4" t="inlineStr">
        <is>
          <t>2024-06</t>
        </is>
      </c>
      <c r="F287" s="4" t="inlineStr">
        <is>
          <t>AEMO 2024 Stage 2 additional capacity NSW-SA</t>
        </is>
      </c>
      <c r="G287" s="4" t="n">
        <v>800</v>
      </c>
      <c r="H287" s="4" t="inlineStr">
        <is>
          <t>MW</t>
        </is>
      </c>
      <c r="I287" s="4" t="n"/>
      <c r="J287" s="4" t="n"/>
      <c r="K287" s="4" t="n"/>
      <c r="L287" s="4" t="inlineStr">
        <is>
          <t>committed project scope, scheduled</t>
        </is>
      </c>
      <c r="M287" s="4" t="inlineStr">
        <is>
          <t>Stage 2, in both directions of NSW-SA</t>
        </is>
      </c>
      <c r="N287" s="4" t="inlineStr">
        <is>
          <t>Presented in 2024 as the Stage 2 additional capacity; the 2026 ISP instead states 650 MW additional and 800 MW after completion. Do not add to Stage 1</t>
        </is>
      </c>
      <c r="O287" s="4" t="inlineStr">
        <is>
          <t>HUM-AEMO-2024-ISP-A5</t>
        </is>
      </c>
      <c r="P287" s="4" t="inlineStr">
        <is>
          <t>17</t>
        </is>
      </c>
      <c r="Q287" s="4" t="inlineStr">
        <is>
          <t>800 MW</t>
        </is>
      </c>
      <c r="R287" s="4" t="inlineStr"/>
      <c r="S287" s="4" t="inlineStr">
        <is>
          <t>Table cell under 'Stage 2:' followed by 'In both directions of NSW-SA', physical p17.</t>
        </is>
      </c>
    </row>
    <row r="288">
      <c r="A288" s="4" t="inlineStr">
        <is>
          <t>Project EnergyConnect</t>
        </is>
      </c>
      <c r="B288" s="4" t="inlineStr">
        <is>
          <t>PEC-PROJECT-PEC</t>
        </is>
      </c>
      <c r="C288" s="4" t="inlineStr">
        <is>
          <t>PEC-AO-2024-CAP-STAGE2-VICSA</t>
        </is>
      </c>
      <c r="D288" s="4" t="inlineStr">
        <is>
          <t>capacity</t>
        </is>
      </c>
      <c r="E288" s="4" t="inlineStr">
        <is>
          <t>2024-06</t>
        </is>
      </c>
      <c r="F288" s="4" t="inlineStr">
        <is>
          <t>AEMO 2024 Stage 2 additional capacity VIC-SA</t>
        </is>
      </c>
      <c r="G288" s="4" t="n">
        <v>100</v>
      </c>
      <c r="H288" s="4" t="inlineStr">
        <is>
          <t>MW</t>
        </is>
      </c>
      <c r="I288" s="4" t="n"/>
      <c r="J288" s="4" t="n"/>
      <c r="K288" s="4" t="n"/>
      <c r="L288" s="4" t="inlineStr">
        <is>
          <t>committed project scope, scheduled</t>
        </is>
      </c>
      <c r="M288" s="4" t="inlineStr">
        <is>
          <t>Stage 2, in both directions of VIC-SA</t>
        </is>
      </c>
      <c r="N288" s="4" t="inlineStr">
        <is>
          <t>A different interconnector boundary (VIC-SA); not additive with the NSW-SA figure</t>
        </is>
      </c>
      <c r="O288" s="4" t="inlineStr">
        <is>
          <t>HUM-AEMO-2024-ISP-A5</t>
        </is>
      </c>
      <c r="P288" s="4" t="inlineStr">
        <is>
          <t>17</t>
        </is>
      </c>
      <c r="Q288" s="4" t="inlineStr">
        <is>
          <t>In both directions of</t>
        </is>
      </c>
      <c r="R288" s="4" t="inlineStr"/>
      <c r="S288" s="4" t="inlineStr">
        <is>
          <t>Table cell '100 MW' / 'In both directions of' / 'VIC-SA', physical p17; the numeral and its qualifier are on separate derivative lines.</t>
        </is>
      </c>
    </row>
    <row r="289">
      <c r="A289" s="4" t="inlineStr">
        <is>
          <t>Project EnergyConnect</t>
        </is>
      </c>
      <c r="B289" s="4" t="inlineStr">
        <is>
          <t>PEC-PROJECT-PEC</t>
        </is>
      </c>
      <c r="C289" s="4" t="inlineStr">
        <is>
          <t>PEC-AO-2026-CAP-STAGE1</t>
        </is>
      </c>
      <c r="D289" s="4" t="inlineStr">
        <is>
          <t>capacity</t>
        </is>
      </c>
      <c r="E289" s="4" t="inlineStr">
        <is>
          <t>2026-06</t>
        </is>
      </c>
      <c r="F289" s="4" t="inlineStr">
        <is>
          <t>AEMO 2026 Stage 1 completed transfer capability</t>
        </is>
      </c>
      <c r="G289" s="4" t="n">
        <v>150</v>
      </c>
      <c r="H289" s="4" t="inlineStr">
        <is>
          <t>MW</t>
        </is>
      </c>
      <c r="I289" s="4" t="n"/>
      <c r="J289" s="4" t="n"/>
      <c r="K289" s="4" t="n"/>
      <c r="L289" s="4" t="inlineStr">
        <is>
          <t>completed / current planner evidence</t>
        </is>
      </c>
      <c r="M289" s="4" t="inlineStr">
        <is>
          <t>SNSW to CSA, both directions, Stage 1 complete</t>
        </is>
      </c>
      <c r="N289" s="4" t="inlineStr">
        <is>
          <t>Current planner statement of realised Stage 1 capability; supersedes the 2024 scheduled presentation</t>
        </is>
      </c>
      <c r="O289" s="4" t="inlineStr">
        <is>
          <t>HUM-AEMO-2026-ISP-A5</t>
        </is>
      </c>
      <c r="P289" s="4" t="inlineStr">
        <is>
          <t>16</t>
        </is>
      </c>
      <c r="Q289" s="4" t="inlineStr">
        <is>
          <t>Project EnergyConnect Stage 1 is completed. The maximum transfer capability from SNSW to CSA is 150 MW in both directions.</t>
        </is>
      </c>
      <c r="R289" s="4" t="inlineStr"/>
      <c r="S289" s="4" t="inlineStr"/>
    </row>
    <row r="290">
      <c r="A290" s="4" t="inlineStr">
        <is>
          <t>Project EnergyConnect</t>
        </is>
      </c>
      <c r="B290" s="4" t="inlineStr">
        <is>
          <t>PEC-PROJECT-PEC</t>
        </is>
      </c>
      <c r="C290" s="4" t="inlineStr">
        <is>
          <t>PEC-AO-2026-CAP-STAGE2-ADD</t>
        </is>
      </c>
      <c r="D290" s="4" t="inlineStr">
        <is>
          <t>capacity</t>
        </is>
      </c>
      <c r="E290" s="4" t="inlineStr">
        <is>
          <t>2026-06</t>
        </is>
      </c>
      <c r="F290" s="4" t="inlineStr">
        <is>
          <t>AEMO 2026 Stage 2 additional capacity NSW-SA</t>
        </is>
      </c>
      <c r="G290" s="4" t="n">
        <v>650</v>
      </c>
      <c r="H290" s="4" t="inlineStr">
        <is>
          <t>MW</t>
        </is>
      </c>
      <c r="I290" s="4" t="n"/>
      <c r="J290" s="4" t="n"/>
      <c r="K290" s="4" t="n"/>
      <c r="L290" s="4" t="inlineStr">
        <is>
          <t>committed project scope</t>
        </is>
      </c>
      <c r="M290" s="4" t="inlineStr">
        <is>
          <t>Stage 2 increment, in both directions of NSW-SA</t>
        </is>
      </c>
      <c r="N290" s="4" t="inlineStr">
        <is>
          <t>An increment on top of the completed 150 MW; not comparable with the 2024 '800 MW' Stage 2 cell, which was presented differently</t>
        </is>
      </c>
      <c r="O290" s="4" t="inlineStr">
        <is>
          <t>HUM-AEMO-2026-ISP-A5</t>
        </is>
      </c>
      <c r="P290" s="4" t="inlineStr">
        <is>
          <t>16</t>
        </is>
      </c>
      <c r="Q290" s="4" t="inlineStr">
        <is>
          <t>650 MW</t>
        </is>
      </c>
      <c r="R290" s="4" t="inlineStr"/>
      <c r="S290" s="4" t="inlineStr">
        <is>
          <t>Table cell under 'Stage 2:' with 'In both directions of' / 'NSW-SA', physical p16.</t>
        </is>
      </c>
    </row>
    <row r="291">
      <c r="A291" s="4" t="inlineStr">
        <is>
          <t>Project EnergyConnect</t>
        </is>
      </c>
      <c r="B291" s="4" t="inlineStr">
        <is>
          <t>PEC-PROJECT-PEC</t>
        </is>
      </c>
      <c r="C291" s="4" t="inlineStr">
        <is>
          <t>PEC-AO-2026-CAP-STAGE2-VICSA</t>
        </is>
      </c>
      <c r="D291" s="4" t="inlineStr">
        <is>
          <t>capacity</t>
        </is>
      </c>
      <c r="E291" s="4" t="inlineStr">
        <is>
          <t>2026-06</t>
        </is>
      </c>
      <c r="F291" s="4" t="inlineStr">
        <is>
          <t>AEMO 2026 Stage 2 additional capacity VIC-SA</t>
        </is>
      </c>
      <c r="G291" s="4" t="n">
        <v>100</v>
      </c>
      <c r="H291" s="4" t="inlineStr">
        <is>
          <t>MW</t>
        </is>
      </c>
      <c r="I291" s="4" t="n"/>
      <c r="J291" s="4" t="n"/>
      <c r="K291" s="4" t="n"/>
      <c r="L291" s="4" t="inlineStr">
        <is>
          <t>committed project scope</t>
        </is>
      </c>
      <c r="M291" s="4" t="inlineStr">
        <is>
          <t>Stage 2 increment, in both directions of VIC-SA</t>
        </is>
      </c>
      <c r="N291" s="4" t="inlineStr">
        <is>
          <t>A different interconnector boundary (VIC-SA); not additive with the NSW-SA increment</t>
        </is>
      </c>
      <c r="O291" s="4" t="inlineStr">
        <is>
          <t>HUM-AEMO-2026-ISP-A5</t>
        </is>
      </c>
      <c r="P291" s="4" t="inlineStr">
        <is>
          <t>16</t>
        </is>
      </c>
      <c r="Q291" s="4" t="inlineStr">
        <is>
          <t>100 MW</t>
        </is>
      </c>
      <c r="R291" s="4" t="inlineStr"/>
      <c r="S291" s="4" t="inlineStr">
        <is>
          <t>Table cell followed by 'In both directions of' / 'VIC-SA', physical p16.</t>
        </is>
      </c>
    </row>
    <row r="292">
      <c r="A292" s="4" t="inlineStr">
        <is>
          <t>Project EnergyConnect</t>
        </is>
      </c>
      <c r="B292" s="4" t="inlineStr">
        <is>
          <t>PEC-PROJECT-PEC</t>
        </is>
      </c>
      <c r="C292" s="4" t="inlineStr">
        <is>
          <t>PEC-AO-2026-CAP-POST-STAGE2</t>
        </is>
      </c>
      <c r="D292" s="4" t="inlineStr">
        <is>
          <t>capacity</t>
        </is>
      </c>
      <c r="E292" s="4" t="inlineStr">
        <is>
          <t>2026-06</t>
        </is>
      </c>
      <c r="F292" s="4" t="inlineStr">
        <is>
          <t>AEMO 2026 expected interconnector capability after Stage 2</t>
        </is>
      </c>
      <c r="G292" s="4" t="n">
        <v>800</v>
      </c>
      <c r="H292" s="4" t="inlineStr">
        <is>
          <t>MW</t>
        </is>
      </c>
      <c r="I292" s="4" t="n"/>
      <c r="J292" s="4" t="n"/>
      <c r="K292" s="4" t="n"/>
      <c r="L292" s="4" t="inlineStr">
        <is>
          <t>planner expectation</t>
        </is>
      </c>
      <c r="M292" s="4" t="inlineStr">
        <is>
          <t>Southern New South Wales - Central South Australia interconnector, both directions, after Stage 2</t>
        </is>
      </c>
      <c r="N292" s="4" t="inlineStr">
        <is>
          <t>The highest NSW-SA interconnector capability any archived source states for a completed PEC; it is 0.8 GW, not a project-wide GW total</t>
        </is>
      </c>
      <c r="O292" s="4" t="inlineStr">
        <is>
          <t>HUM-AEMO-2026-ISP-A5</t>
        </is>
      </c>
      <c r="P292" s="4" t="inlineStr">
        <is>
          <t>16</t>
        </is>
      </c>
      <c r="Q292" s="4" t="inlineStr">
        <is>
          <t>After the completion of Project EnergyConnect Stage 2, the Southern New South Wales – Central South Australia interconnector is expected to</t>
        </is>
      </c>
      <c r="R292" s="4" t="inlineStr">
        <is>
          <t>selected</t>
        </is>
      </c>
      <c r="S292" s="4" t="inlineStr">
        <is>
          <t>The next derivative line completes the sentence: 'increase to 800 MW in both directions.'</t>
        </is>
      </c>
    </row>
    <row r="293">
      <c r="A293" s="4" t="inlineStr">
        <is>
          <t>Project EnergyConnect</t>
        </is>
      </c>
      <c r="B293" s="4" t="inlineStr">
        <is>
          <t>PEC-PROJECT-PEC</t>
        </is>
      </c>
      <c r="C293" s="4" t="inlineStr">
        <is>
          <t>PEC-AO-2026-REZ-LIMITS</t>
        </is>
      </c>
      <c r="D293" s="4" t="inlineStr">
        <is>
          <t>capacity</t>
        </is>
      </c>
      <c r="E293" s="4" t="inlineStr">
        <is>
          <t>2026-06</t>
        </is>
      </c>
      <c r="F293" s="4" t="inlineStr">
        <is>
          <t>AEMO 2026 REZ network limit increases from Stage 2</t>
        </is>
      </c>
      <c r="G293" s="4" t="n">
        <v>800</v>
      </c>
      <c r="H293" s="4" t="inlineStr">
        <is>
          <t>MW</t>
        </is>
      </c>
      <c r="I293" s="4" t="n"/>
      <c r="J293" s="4" t="n"/>
      <c r="K293" s="4" t="n"/>
      <c r="L293" s="4" t="inlineStr">
        <is>
          <t>committed project scope</t>
        </is>
      </c>
      <c r="M293" s="4" t="inlineStr">
        <is>
          <t>REZ network limit increase S2 (Riverland); the same cell lists N5: 800 MW and SWNSW1: 400</t>
        </is>
      </c>
      <c r="N293" s="4" t="inlineStr">
        <is>
          <t>REZ hosting-capacity limits, a different measure from interconnector transfer capability; never add to interconnector MW</t>
        </is>
      </c>
      <c r="O293" s="4" t="inlineStr">
        <is>
          <t>HUM-AEMO-2026-ISP-A5</t>
        </is>
      </c>
      <c r="P293" s="4" t="inlineStr">
        <is>
          <t>16</t>
        </is>
      </c>
      <c r="Q293" s="4" t="inlineStr">
        <is>
          <t>S2: 800 MW</t>
        </is>
      </c>
      <c r="R293" s="4" t="inlineStr"/>
      <c r="S293" s="4" t="inlineStr"/>
    </row>
    <row r="294">
      <c r="A294" s="4" t="inlineStr">
        <is>
          <t>Project EnergyConnect</t>
        </is>
      </c>
      <c r="B294" s="4" t="inlineStr">
        <is>
          <t>PEC-PROJECT-PEC</t>
        </is>
      </c>
      <c r="C294" s="4" t="inlineStr">
        <is>
          <t>PEC-AO-2026-KM-WHOLE</t>
        </is>
      </c>
      <c r="D294" s="4" t="inlineStr">
        <is>
          <t>trunk_km</t>
        </is>
      </c>
      <c r="E294" s="4" t="inlineStr">
        <is>
          <t>2026-09-02</t>
        </is>
      </c>
      <c r="F294" s="4" t="inlineStr">
        <is>
          <t>Transgrid stated total EnergyConnect route length</t>
        </is>
      </c>
      <c r="G294" s="4" t="n">
        <v>900</v>
      </c>
      <c r="H294" s="4" t="inlineStr">
        <is>
          <t>km</t>
        </is>
      </c>
      <c r="I294" s="4" t="n"/>
      <c r="J294" s="4" t="n"/>
      <c r="K294" s="4" t="n"/>
      <c r="L294" s="4" t="inlineStr">
        <is>
          <t>owner statement, construction complete</t>
        </is>
      </c>
      <c r="M294" s="4" t="inlineStr">
        <is>
          <t>Whole Project EnergyConnect route, SA + VIC + NSW</t>
        </is>
      </c>
      <c r="N294" s="4" t="inlineStr">
        <is>
          <t>Whole three-state route including the 220 kV Red Cliffs spur; a different boundary from any single-voltage trunk length</t>
        </is>
      </c>
      <c r="O294" s="4" t="inlineStr">
        <is>
          <t>PEC-TG-PROJECT-PAGE</t>
        </is>
      </c>
      <c r="P294" s="4" t="inlineStr">
        <is>
          <t>derivative line 1207</t>
        </is>
      </c>
      <c r="Q294" s="4" t="inlineStr">
        <is>
          <t>Stretching 900km across New South Wales, Victoria and South Australia, it has connected the three state grids for the very first time.</t>
        </is>
      </c>
      <c r="R294" s="4" t="inlineStr"/>
      <c r="S294" s="4" t="inlineStr"/>
    </row>
    <row r="295">
      <c r="A295" s="4" t="inlineStr">
        <is>
          <t>Project EnergyConnect</t>
        </is>
      </c>
      <c r="B295" s="4" t="inlineStr">
        <is>
          <t>PEC-PROJECT-PEC</t>
        </is>
      </c>
      <c r="C295" s="4" t="inlineStr">
        <is>
          <t>PEC-AO-2026-KM-DINAWAN-WAGGA</t>
        </is>
      </c>
      <c r="D295" s="4" t="inlineStr">
        <is>
          <t>trunk_km</t>
        </is>
      </c>
      <c r="E295" s="4" t="inlineStr">
        <is>
          <t>2026-09-02</t>
        </is>
      </c>
      <c r="F295" s="4" t="inlineStr">
        <is>
          <t>Transgrid stated Dinawan to Wagga Wagga 500 kV line length</t>
        </is>
      </c>
      <c r="G295" s="4" t="n">
        <v>165</v>
      </c>
      <c r="H295" s="4" t="inlineStr">
        <is>
          <t>km</t>
        </is>
      </c>
      <c r="I295" s="4" t="n"/>
      <c r="J295" s="4" t="n"/>
      <c r="K295" s="4" t="n"/>
      <c r="L295" s="4" t="inlineStr">
        <is>
          <t>owner statement, section complete</t>
        </is>
      </c>
      <c r="M295" s="4" t="inlineStr">
        <is>
          <t>Dinawan to Wagga Wagga section, NSW-Eastern</t>
        </is>
      </c>
      <c r="N295" s="4" t="inlineStr">
        <is>
          <t>One 500 kV-built section only (operated at 330 kV), not the interconnector trunk; the only archived 500 kV length for PEC</t>
        </is>
      </c>
      <c r="O295" s="4" t="inlineStr">
        <is>
          <t>PEC-TG-PROJECT-PAGE</t>
        </is>
      </c>
      <c r="P295" s="4" t="inlineStr">
        <is>
          <t>derivative line 1327</t>
        </is>
      </c>
      <c r="Q295" s="4" t="inlineStr">
        <is>
          <t>a further 165km of 500kV transmission line Dinawan to Wagga Wagga, comprising 334 towers</t>
        </is>
      </c>
      <c r="R295" s="4" t="inlineStr"/>
      <c r="S295" s="4" t="inlineStr"/>
    </row>
    <row r="296">
      <c r="A296" s="4" t="inlineStr">
        <is>
          <t>Project EnergyConnect</t>
        </is>
      </c>
      <c r="B296" s="4" t="inlineStr">
        <is>
          <t>PEC-PROJECT-PEC</t>
        </is>
      </c>
      <c r="C296" s="4" t="inlineStr">
        <is>
          <t>PEC-AO-2026-KM-BURONGA-DINAWAN</t>
        </is>
      </c>
      <c r="D296" s="4" t="inlineStr">
        <is>
          <t>trunk_km</t>
        </is>
      </c>
      <c r="E296" s="4" t="inlineStr">
        <is>
          <t>2026-09-02</t>
        </is>
      </c>
      <c r="F296" s="4" t="inlineStr">
        <is>
          <t>Transgrid stated Buronga to Dinawan 330 kV line length</t>
        </is>
      </c>
      <c r="G296" s="4" t="n">
        <v>375</v>
      </c>
      <c r="H296" s="4" t="inlineStr">
        <is>
          <t>km</t>
        </is>
      </c>
      <c r="I296" s="4" t="n"/>
      <c r="J296" s="4" t="n"/>
      <c r="K296" s="4" t="n"/>
      <c r="L296" s="4" t="inlineStr">
        <is>
          <t>owner statement, section complete</t>
        </is>
      </c>
      <c r="M296" s="4" t="inlineStr">
        <is>
          <t>Buronga to Dinawan section, NSW-Eastern</t>
        </is>
      </c>
      <c r="N296" s="4" t="inlineStr">
        <is>
          <t>One 330 kV section of the NSW-Eastern works; not a project trunk total</t>
        </is>
      </c>
      <c r="O296" s="4" t="inlineStr">
        <is>
          <t>PEC-TG-PROJECT-PAGE</t>
        </is>
      </c>
      <c r="P296" s="4" t="inlineStr">
        <is>
          <t>derivative line 1327</t>
        </is>
      </c>
      <c r="Q296" s="4" t="inlineStr">
        <is>
          <t>375km of new 330kV transmission line between Buronga and the new Dinawan substation at Bundure, comprising 800 towers</t>
        </is>
      </c>
      <c r="R296" s="4" t="inlineStr"/>
      <c r="S296" s="4" t="inlineStr"/>
    </row>
    <row r="297">
      <c r="A297" s="4" t="inlineStr">
        <is>
          <t>Project EnergyConnect</t>
        </is>
      </c>
      <c r="B297" s="4" t="inlineStr">
        <is>
          <t>PEC-PROJECT-PEC</t>
        </is>
      </c>
      <c r="C297" s="4" t="inlineStr">
        <is>
          <t>PEC-AO-2026-KM-BORDER-BURONGA</t>
        </is>
      </c>
      <c r="D297" s="4" t="inlineStr">
        <is>
          <t>trunk_km</t>
        </is>
      </c>
      <c r="E297" s="4" t="inlineStr">
        <is>
          <t>2026-09-02</t>
        </is>
      </c>
      <c r="F297" s="4" t="inlineStr">
        <is>
          <t>Transgrid stated SA border to Buronga 330 kV line length</t>
        </is>
      </c>
      <c r="G297" s="4" t="n">
        <v>135</v>
      </c>
      <c r="H297" s="4" t="inlineStr">
        <is>
          <t>km</t>
        </is>
      </c>
      <c r="I297" s="4" t="n"/>
      <c r="J297" s="4" t="n"/>
      <c r="K297" s="4" t="n"/>
      <c r="L297" s="4" t="inlineStr">
        <is>
          <t>owner statement, section complete</t>
        </is>
      </c>
      <c r="M297" s="4" t="inlineStr">
        <is>
          <t>SA border to Buronga section, NSW-Western</t>
        </is>
      </c>
      <c r="N297" s="4" t="inlineStr">
        <is>
          <t>NSW-Western section only; excludes the ElectraNet-delivered South Australian length, which no archived source states</t>
        </is>
      </c>
      <c r="O297" s="4" t="inlineStr">
        <is>
          <t>PEC-TG-PROJECT-PAGE</t>
        </is>
      </c>
      <c r="P297" s="4" t="inlineStr">
        <is>
          <t>derivative line 1262</t>
        </is>
      </c>
      <c r="Q297" s="4" t="inlineStr">
        <is>
          <t>135km of new 330kV transmission line between the SA border and Buronga, comprising 291 towers.</t>
        </is>
      </c>
      <c r="R297" s="4" t="inlineStr"/>
      <c r="S297" s="4" t="inlineStr"/>
    </row>
    <row r="298">
      <c r="A298" s="4" t="inlineStr">
        <is>
          <t>Project EnergyConnect</t>
        </is>
      </c>
      <c r="B298" s="4" t="inlineStr">
        <is>
          <t>PEC-PROJECT-PEC</t>
        </is>
      </c>
      <c r="C298" s="4" t="inlineStr">
        <is>
          <t>PEC-AO-2026-KM-REDCLIFFS</t>
        </is>
      </c>
      <c r="D298" s="4" t="inlineStr">
        <is>
          <t>feeder_km</t>
        </is>
      </c>
      <c r="E298" s="4" t="inlineStr">
        <is>
          <t>2026-09-02</t>
        </is>
      </c>
      <c r="F298" s="4" t="inlineStr">
        <is>
          <t>Transgrid stated Buronga to Red Cliffs 220 kV upgrade length</t>
        </is>
      </c>
      <c r="G298" s="4" t="n">
        <v>22</v>
      </c>
      <c r="H298" s="4" t="inlineStr">
        <is>
          <t>km</t>
        </is>
      </c>
      <c r="I298" s="4" t="n"/>
      <c r="J298" s="4" t="n"/>
      <c r="K298" s="4" t="n"/>
      <c r="L298" s="4" t="inlineStr">
        <is>
          <t>owner statement, section complete</t>
        </is>
      </c>
      <c r="M298" s="4" t="inlineStr">
        <is>
          <t>Buronga to Red Cliffs 220 kV, Victoria</t>
        </is>
      </c>
      <c r="N298" s="4" t="inlineStr">
        <is>
          <t>A lower-voltage spur/upgrade inside the project scope, distinct from the 330/500 kV trunk sections</t>
        </is>
      </c>
      <c r="O298" s="4" t="inlineStr">
        <is>
          <t>PEC-TG-PROJECT-PAGE</t>
        </is>
      </c>
      <c r="P298" s="4" t="inlineStr">
        <is>
          <t>derivative line 1262</t>
        </is>
      </c>
      <c r="Q298" s="4" t="inlineStr">
        <is>
          <t>Upgrade of about 22km of existing 220kV transmission between the Buronga substation and Red Cliffs in</t>
        </is>
      </c>
      <c r="R298" s="4" t="inlineStr">
        <is>
          <t>selected</t>
        </is>
      </c>
      <c r="S298" s="4" t="inlineStr">
        <is>
          <t>Sentence continues 'Victoria, replacing lattice structures with 79 monopoles.'</t>
        </is>
      </c>
    </row>
    <row r="299">
      <c r="A299" s="4" t="inlineStr">
        <is>
          <t>Project EnergyConnect</t>
        </is>
      </c>
      <c r="B299" s="4" t="inlineStr">
        <is>
          <t>PEC-PROJECT-PEC</t>
        </is>
      </c>
      <c r="C299" s="4" t="inlineStr">
        <is>
          <t>PEC-AO-2026-VOLTAGE-330</t>
        </is>
      </c>
      <c r="D299" s="4" t="inlineStr">
        <is>
          <t>voltage</t>
        </is>
      </c>
      <c r="E299" s="4" t="inlineStr">
        <is>
          <t>2026-06</t>
        </is>
      </c>
      <c r="F299" s="4" t="inlineStr">
        <is>
          <t>AEMO 2026 interconnector voltage</t>
        </is>
      </c>
      <c r="G299" s="4" t="n">
        <v>330</v>
      </c>
      <c r="H299" s="4" t="inlineStr">
        <is>
          <t>kV</t>
        </is>
      </c>
      <c r="I299" s="4" t="n"/>
      <c r="J299" s="4" t="n"/>
      <c r="K299" s="4" t="n"/>
      <c r="L299" s="4" t="inlineStr">
        <is>
          <t>current planner evidence</t>
        </is>
      </c>
      <c r="M299" s="4" t="inlineStr">
        <is>
          <t>Whole Project EnergyConnect interconnector</t>
        </is>
      </c>
      <c r="N299" s="4" t="inlineStr">
        <is>
          <t>The interconnector's operating voltage; the same 330 kV description appears in the 2020, 2022 and 2024 ISPs</t>
        </is>
      </c>
      <c r="O299" s="4" t="inlineStr">
        <is>
          <t>HUM-AEMO-2026-ISP-A5</t>
        </is>
      </c>
      <c r="P299" s="4" t="inlineStr">
        <is>
          <t>16</t>
        </is>
      </c>
      <c r="Q299" s="4" t="inlineStr">
        <is>
          <t>Project EnergyConnect is a new 330 kV interconnector between New South Wales and South Australia. Project EnergyConnect is under</t>
        </is>
      </c>
      <c r="R299" s="4" t="inlineStr"/>
      <c r="S299" s="4" t="inlineStr"/>
    </row>
    <row r="300">
      <c r="A300" s="4" t="inlineStr">
        <is>
          <t>Project EnergyConnect</t>
        </is>
      </c>
      <c r="B300" s="4" t="inlineStr">
        <is>
          <t>PEC-PROJECT-PEC</t>
        </is>
      </c>
      <c r="C300" s="4" t="inlineStr">
        <is>
          <t>PEC-AO-2024-VOLTAGE-275</t>
        </is>
      </c>
      <c r="D300" s="4" t="inlineStr">
        <is>
          <t>voltage</t>
        </is>
      </c>
      <c r="E300" s="4" t="inlineStr">
        <is>
          <t>2024-06</t>
        </is>
      </c>
      <c r="F300" s="4" t="inlineStr">
        <is>
          <t>AEMO 2024 Robertstown to Bundey line voltage</t>
        </is>
      </c>
      <c r="G300" s="4" t="n">
        <v>275</v>
      </c>
      <c r="H300" s="4" t="inlineStr">
        <is>
          <t>kV</t>
        </is>
      </c>
      <c r="I300" s="4" t="n"/>
      <c r="J300" s="4" t="n"/>
      <c r="K300" s="4" t="n"/>
      <c r="L300" s="4" t="inlineStr">
        <is>
          <t>committed project scope</t>
        </is>
      </c>
      <c r="M300" s="4" t="inlineStr">
        <is>
          <t>Robertstown to Bundey section (ElectraNet scope)</t>
        </is>
      </c>
      <c r="N300" s="4" t="inlineStr">
        <is>
          <t>The South Australian section is built at 275 kV, not 330 kV; a mixed-voltage project cannot be described by a single trunk voltage</t>
        </is>
      </c>
      <c r="O300" s="4" t="inlineStr">
        <is>
          <t>HUM-AEMO-2024-ISP-A5</t>
        </is>
      </c>
      <c r="P300" s="4" t="inlineStr">
        <is>
          <t>17</t>
        </is>
      </c>
      <c r="Q300" s="4" t="inlineStr">
        <is>
          <t>A new Robertstown to Bundey 275 kV double-circuit line.</t>
        </is>
      </c>
      <c r="R300" s="4" t="inlineStr"/>
      <c r="S300" s="4" t="inlineStr"/>
    </row>
    <row r="301">
      <c r="A301" s="4" t="inlineStr">
        <is>
          <t>Project EnergyConnect</t>
        </is>
      </c>
      <c r="B301" s="4" t="inlineStr">
        <is>
          <t>PEC-PROJECT-PEC</t>
        </is>
      </c>
      <c r="C301" s="4" t="inlineStr">
        <is>
          <t>PEC-AO-2024-VOLTAGE-500</t>
        </is>
      </c>
      <c r="D301" s="4" t="inlineStr">
        <is>
          <t>voltage</t>
        </is>
      </c>
      <c r="E301" s="4" t="inlineStr">
        <is>
          <t>2024-06</t>
        </is>
      </c>
      <c r="F301" s="4" t="inlineStr">
        <is>
          <t>AEMO 2024 Dinawan to Wagga Wagga line build voltage</t>
        </is>
      </c>
      <c r="G301" s="4" t="n">
        <v>500</v>
      </c>
      <c r="H301" s="4" t="inlineStr">
        <is>
          <t>kV</t>
        </is>
      </c>
      <c r="I301" s="4" t="n"/>
      <c r="J301" s="4" t="n"/>
      <c r="K301" s="4" t="n"/>
      <c r="L301" s="4" t="inlineStr">
        <is>
          <t>committed project scope</t>
        </is>
      </c>
      <c r="M301" s="4" t="inlineStr">
        <is>
          <t>Dinawan to Wagga Wagga section</t>
        </is>
      </c>
      <c r="N301" s="4" t="inlineStr">
        <is>
          <t>Built to 500 kV but operated at 330 kV; the build voltage is not the operating voltage</t>
        </is>
      </c>
      <c r="O301" s="4" t="inlineStr">
        <is>
          <t>HUM-AEMO-2024-ISP-A5</t>
        </is>
      </c>
      <c r="P301" s="4" t="inlineStr">
        <is>
          <t>18</t>
        </is>
      </c>
      <c r="Q301" s="4" t="inlineStr">
        <is>
          <t>A new 500 kV double-circuit line from Dinawan to Wagga Wagga</t>
        </is>
      </c>
      <c r="R301" s="4" t="inlineStr"/>
      <c r="S301" s="4" t="inlineStr">
        <is>
          <t>Next derivative line: 'operating at 330 kV'.</t>
        </is>
      </c>
    </row>
    <row r="302">
      <c r="A302" s="4" t="inlineStr">
        <is>
          <t>Project EnergyConnect</t>
        </is>
      </c>
      <c r="B302" s="4" t="inlineStr">
        <is>
          <t>PEC-PROJECT-PEC</t>
        </is>
      </c>
      <c r="C302" s="4" t="inlineStr">
        <is>
          <t>PEC-AO-2024-CIRCUITS</t>
        </is>
      </c>
      <c r="D302" s="4" t="inlineStr">
        <is>
          <t>circuits</t>
        </is>
      </c>
      <c r="E302" s="4" t="inlineStr">
        <is>
          <t>2024-06</t>
        </is>
      </c>
      <c r="F302" s="4" t="inlineStr">
        <is>
          <t>AEMO 2024 Bundey to Buronga circuit configuration</t>
        </is>
      </c>
      <c r="G302" s="4" t="n">
        <v>2</v>
      </c>
      <c r="H302" s="4" t="inlineStr">
        <is>
          <t>count</t>
        </is>
      </c>
      <c r="I302" s="4" t="n"/>
      <c r="J302" s="4" t="n"/>
      <c r="K302" s="4" t="n"/>
      <c r="L302" s="4" t="inlineStr">
        <is>
          <t>committed project scope</t>
        </is>
      </c>
      <c r="M302" s="4" t="inlineStr">
        <is>
          <t>Bundey to Buronga line; every new PEC line section is described as double-circuit</t>
        </is>
      </c>
      <c r="N302" s="4" t="inlineStr">
        <is>
          <t>Double-circuit construction is stated per line section; in Stage 1 only one circuit was strung, so the sourced circuit count is time-dependent</t>
        </is>
      </c>
      <c r="O302" s="4" t="inlineStr">
        <is>
          <t>HUM-AEMO-2024-ISP-A5</t>
        </is>
      </c>
      <c r="P302" s="4" t="inlineStr">
        <is>
          <t>17</t>
        </is>
      </c>
      <c r="Q302" s="4" t="inlineStr">
        <is>
          <t>A new Bundey to Buronga 330 kV double-circuit line strung one circuit</t>
        </is>
      </c>
      <c r="R302" s="4" t="inlineStr">
        <is>
          <t>selected</t>
        </is>
      </c>
      <c r="S302" s="4" t="inlineStr">
        <is>
          <t>Line continues 'initially.' on the next derivative line; the second circuit is closed in Stage 2 (2026 ISP p16).</t>
        </is>
      </c>
    </row>
    <row r="303">
      <c r="A303" s="4" t="inlineStr">
        <is>
          <t>Project EnergyConnect</t>
        </is>
      </c>
      <c r="B303" s="4" t="inlineStr">
        <is>
          <t>PEC-PROJECT-PEC</t>
        </is>
      </c>
      <c r="C303" s="4" t="inlineStr">
        <is>
          <t>PEC-AO-2024-LINES</t>
        </is>
      </c>
      <c r="D303" s="4" t="inlineStr">
        <is>
          <t>lines</t>
        </is>
      </c>
      <c r="E303" s="4" t="inlineStr">
        <is>
          <t>2024-06</t>
        </is>
      </c>
      <c r="F303" s="4" t="inlineStr">
        <is>
          <t>AEMO 2024 distinct new line sections in the delivery scope</t>
        </is>
      </c>
      <c r="G303" s="4" t="n"/>
      <c r="H303" s="4" t="inlineStr">
        <is>
          <t>count</t>
        </is>
      </c>
      <c r="I303" s="4" t="n"/>
      <c r="J303" s="4" t="n"/>
      <c r="K303" s="4" t="n"/>
      <c r="L303" s="4" t="inlineStr">
        <is>
          <t>committed project scope</t>
        </is>
      </c>
      <c r="M303" s="4" t="inlineStr">
        <is>
          <t>Delivery scope line items, Stage 1 and Stage 2</t>
        </is>
      </c>
      <c r="N303" s="4" t="inlineStr">
        <is>
          <t>AEMO lists at least five distinct new or converted line sections (Robertstown-Bundey 275 kV, Bundey-Buronga 330 kV, Buronga-Red Cliffs 220 kV, Buronga-Dinawan 330 kV, Dinawan-Wagga Wagga 500 kV) and does not state a project-wide line count</t>
        </is>
      </c>
      <c r="O303" s="4" t="inlineStr">
        <is>
          <t>HUM-AEMO-2024-ISP-A5</t>
        </is>
      </c>
      <c r="P303" s="4" t="inlineStr">
        <is>
          <t>18</t>
        </is>
      </c>
      <c r="Q303" s="4" t="inlineStr">
        <is>
          <t>A new 330 kV double-circuit line from Buronga to Dinawan.</t>
        </is>
      </c>
      <c r="R303" s="4" t="inlineStr">
        <is>
          <t>selected</t>
        </is>
      </c>
      <c r="S303" s="4" t="inlineStr">
        <is>
          <t>No archived source states a single 'number of lines' for PEC; value left null rather than counted by the curator.</t>
        </is>
      </c>
    </row>
    <row r="304">
      <c r="A304" s="4" t="inlineStr">
        <is>
          <t>Project EnergyConnect</t>
        </is>
      </c>
      <c r="B304" s="4" t="inlineStr">
        <is>
          <t>PEC-PROJECT-PEC</t>
        </is>
      </c>
      <c r="C304" s="4" t="inlineStr">
        <is>
          <t>PEC-AO-2026-SWITCHING-DINAWAN</t>
        </is>
      </c>
      <c r="D304" s="4" t="inlineStr">
        <is>
          <t>hubs</t>
        </is>
      </c>
      <c r="E304" s="4" t="inlineStr">
        <is>
          <t>2026-06</t>
        </is>
      </c>
      <c r="F304" s="4" t="inlineStr">
        <is>
          <t>AEMO 2026 new switching station at Dinawan</t>
        </is>
      </c>
      <c r="G304" s="4" t="n">
        <v>1</v>
      </c>
      <c r="H304" s="4" t="inlineStr">
        <is>
          <t>count</t>
        </is>
      </c>
      <c r="I304" s="4" t="n"/>
      <c r="J304" s="4" t="n"/>
      <c r="K304" s="4" t="n"/>
      <c r="L304" s="4" t="inlineStr">
        <is>
          <t>committed project scope</t>
        </is>
      </c>
      <c r="M304" s="4" t="inlineStr">
        <is>
          <t>Dinawan switching station, Stage 2 scope</t>
        </is>
      </c>
      <c r="N304" s="4" t="inlineStr">
        <is>
          <t>A switching station is not defined as a 'hub' by any archived source; counting it as a hub is an author definition</t>
        </is>
      </c>
      <c r="O304" s="4" t="inlineStr">
        <is>
          <t>HUM-AEMO-2026-ISP-A5</t>
        </is>
      </c>
      <c r="P304" s="4" t="inlineStr">
        <is>
          <t>16</t>
        </is>
      </c>
      <c r="Q304" s="4" t="inlineStr">
        <is>
          <t>A new 330 kV switching station at Dinawan.</t>
        </is>
      </c>
      <c r="R304" s="4" t="inlineStr">
        <is>
          <t>selected</t>
        </is>
      </c>
      <c r="S304" s="4" t="inlineStr"/>
    </row>
    <row r="305">
      <c r="A305" s="4" t="inlineStr">
        <is>
          <t>Project EnergyConnect</t>
        </is>
      </c>
      <c r="B305" s="4" t="inlineStr">
        <is>
          <t>PEC-PROJECT-PEC</t>
        </is>
      </c>
      <c r="C305" s="4" t="inlineStr">
        <is>
          <t>PEC-AO-2026-SYNCON-BURONGA</t>
        </is>
      </c>
      <c r="D305" s="4" t="inlineStr">
        <is>
          <t>syncons_mva</t>
        </is>
      </c>
      <c r="E305" s="4" t="inlineStr">
        <is>
          <t>2026-06</t>
        </is>
      </c>
      <c r="F305" s="4" t="inlineStr">
        <is>
          <t>AEMO 2026 additional synchronous condenser at Buronga</t>
        </is>
      </c>
      <c r="G305" s="4" t="n">
        <v>100</v>
      </c>
      <c r="H305" s="4" t="inlineStr">
        <is>
          <t>MVA</t>
        </is>
      </c>
      <c r="I305" s="4" t="n"/>
      <c r="J305" s="4" t="n"/>
      <c r="K305" s="4" t="n"/>
      <c r="L305" s="4" t="inlineStr">
        <is>
          <t>committed project scope</t>
        </is>
      </c>
      <c r="M305" s="4" t="inlineStr">
        <is>
          <t>Buronga, Stage 2 scope: 1 x 100 MVA</t>
        </is>
      </c>
      <c r="N305" s="4" t="inlineStr">
        <is>
          <t>A unit rating, not a project total; AEMO states unit ratings and counts, never an aggregate MVA</t>
        </is>
      </c>
      <c r="O305" s="4" t="inlineStr">
        <is>
          <t>HUM-AEMO-2026-ISP-A5</t>
        </is>
      </c>
      <c r="P305" s="4" t="inlineStr">
        <is>
          <t>17</t>
        </is>
      </c>
      <c r="Q305" s="4" t="inlineStr">
        <is>
          <t>An additional 1 x 100 MVA 330 kV connected synchronous condenser at</t>
        </is>
      </c>
      <c r="R305" s="4" t="inlineStr"/>
      <c r="S305" s="4" t="inlineStr">
        <is>
          <t>Next derivative line: 'Buronga.'</t>
        </is>
      </c>
    </row>
    <row r="306">
      <c r="A306" s="4" t="inlineStr">
        <is>
          <t>Project EnergyConnect</t>
        </is>
      </c>
      <c r="B306" s="4" t="inlineStr">
        <is>
          <t>PEC-PROJECT-PEC</t>
        </is>
      </c>
      <c r="C306" s="4" t="inlineStr">
        <is>
          <t>PEC-AO-2026-SYNCON-DINAWAN</t>
        </is>
      </c>
      <c r="D306" s="4" t="inlineStr">
        <is>
          <t>syncons_mva</t>
        </is>
      </c>
      <c r="E306" s="4" t="inlineStr">
        <is>
          <t>2026-06</t>
        </is>
      </c>
      <c r="F306" s="4" t="inlineStr">
        <is>
          <t>AEMO 2026 new synchronous condensers at Dinawan</t>
        </is>
      </c>
      <c r="G306" s="4" t="n">
        <v>100</v>
      </c>
      <c r="H306" s="4" t="inlineStr">
        <is>
          <t>MVA</t>
        </is>
      </c>
      <c r="I306" s="4" t="n"/>
      <c r="J306" s="4" t="n"/>
      <c r="K306" s="4" t="n"/>
      <c r="L306" s="4" t="inlineStr">
        <is>
          <t>committed project scope</t>
        </is>
      </c>
      <c r="M306" s="4" t="inlineStr">
        <is>
          <t>Dinawan, Stage 2 scope: 2 x 100 MVA</t>
        </is>
      </c>
      <c r="N306" s="4" t="inlineStr">
        <is>
          <t>A unit rating for two units, not a project total; not additive with the Buronga unit without an author decision</t>
        </is>
      </c>
      <c r="O306" s="4" t="inlineStr">
        <is>
          <t>HUM-AEMO-2026-ISP-A5</t>
        </is>
      </c>
      <c r="P306" s="4" t="inlineStr">
        <is>
          <t>17</t>
        </is>
      </c>
      <c r="Q306" s="4" t="inlineStr">
        <is>
          <t>New 2 x 100 MVA 330 kV connected synchronous condenser at Dinawan.</t>
        </is>
      </c>
      <c r="R306" s="4" t="inlineStr">
        <is>
          <t>selected</t>
        </is>
      </c>
      <c r="S306" s="4" t="inlineStr"/>
    </row>
    <row r="307">
      <c r="A307" s="4" t="inlineStr">
        <is>
          <t>Project EnergyConnect</t>
        </is>
      </c>
      <c r="B307" s="4" t="inlineStr">
        <is>
          <t>PEC-PROJECT-PEC</t>
        </is>
      </c>
      <c r="C307" s="4" t="inlineStr">
        <is>
          <t>PEC-AO-2026-TG-SYNCON-BURONGA-COUNT</t>
        </is>
      </c>
      <c r="D307" s="4" t="inlineStr">
        <is>
          <t>syncons_mva</t>
        </is>
      </c>
      <c r="E307" s="4" t="inlineStr">
        <is>
          <t>2026-09-02</t>
        </is>
      </c>
      <c r="F307" s="4" t="inlineStr">
        <is>
          <t>Transgrid stated synchronous condensers at Buronga</t>
        </is>
      </c>
      <c r="G307" s="4" t="n">
        <v>2</v>
      </c>
      <c r="H307" s="4" t="inlineStr">
        <is>
          <t>count</t>
        </is>
      </c>
      <c r="I307" s="4" t="n"/>
      <c r="J307" s="4" t="n"/>
      <c r="K307" s="4" t="n"/>
      <c r="L307" s="4" t="inlineStr">
        <is>
          <t>owner statement, section complete</t>
        </is>
      </c>
      <c r="M307" s="4" t="inlineStr">
        <is>
          <t>Buronga substation extension, NSW-Western section</t>
        </is>
      </c>
      <c r="N307" s="4" t="inlineStr">
        <is>
          <t>Owner count with no MVA rating stated; complements but does not confirm AEMO's unit ratings</t>
        </is>
      </c>
      <c r="O307" s="4" t="inlineStr">
        <is>
          <t>PEC-TG-PROJECT-PAGE</t>
        </is>
      </c>
      <c r="P307" s="4" t="inlineStr">
        <is>
          <t>derivative line 1273</t>
        </is>
      </c>
      <c r="Q307" s="4" t="inlineStr">
        <is>
          <t>installation of 5 phase shifting transformers and 2 synchronous condensers.</t>
        </is>
      </c>
      <c r="R307" s="4" t="inlineStr"/>
      <c r="S307" s="4" t="inlineStr"/>
    </row>
    <row r="308">
      <c r="A308" s="4" t="inlineStr">
        <is>
          <t>Project EnergyConnect</t>
        </is>
      </c>
      <c r="B308" s="4" t="inlineStr">
        <is>
          <t>PEC-PROJECT-PEC</t>
        </is>
      </c>
      <c r="C308" s="4" t="inlineStr">
        <is>
          <t>PEC-AO-2026-TG-SYNCON-DINAWAN-COUNT</t>
        </is>
      </c>
      <c r="D308" s="4" t="inlineStr">
        <is>
          <t>syncons_mva</t>
        </is>
      </c>
      <c r="E308" s="4" t="inlineStr">
        <is>
          <t>2026-09-02</t>
        </is>
      </c>
      <c r="F308" s="4" t="inlineStr">
        <is>
          <t>Transgrid stated synchronous condensers at the Dinawan substation</t>
        </is>
      </c>
      <c r="G308" s="4" t="n">
        <v>2</v>
      </c>
      <c r="H308" s="4" t="inlineStr">
        <is>
          <t>count</t>
        </is>
      </c>
      <c r="I308" s="4" t="n"/>
      <c r="J308" s="4" t="n"/>
      <c r="K308" s="4" t="n"/>
      <c r="L308" s="4" t="inlineStr">
        <is>
          <t>owner statement, section complete</t>
        </is>
      </c>
      <c r="M308" s="4" t="inlineStr">
        <is>
          <t>Dinawan (near Bundure) substation, NSW-Eastern section</t>
        </is>
      </c>
      <c r="N308" s="4" t="inlineStr">
        <is>
          <t>Owner count with no MVA rating stated</t>
        </is>
      </c>
      <c r="O308" s="4" t="inlineStr">
        <is>
          <t>PEC-TG-PROJECT-PAGE</t>
        </is>
      </c>
      <c r="P308" s="4" t="inlineStr">
        <is>
          <t>derivative line 1338</t>
        </is>
      </c>
      <c r="Q308" s="4" t="inlineStr">
        <is>
          <t>Construction of new 4.5ha substation near Bundure including installation of 2 synchronous condensers.</t>
        </is>
      </c>
      <c r="R308" s="4" t="inlineStr"/>
      <c r="S308" s="4" t="inlineStr"/>
    </row>
    <row r="309">
      <c r="A309" s="4" t="inlineStr">
        <is>
          <t>Project EnergyConnect</t>
        </is>
      </c>
      <c r="B309" s="4" t="inlineStr">
        <is>
          <t>PEC-PROJECT-PEC</t>
        </is>
      </c>
      <c r="C309" s="4" t="inlineStr">
        <is>
          <t>PEC-AO-2024-XFMR-BUNDEY</t>
        </is>
      </c>
      <c r="D309" s="4" t="inlineStr">
        <is>
          <t>transformers_mva</t>
        </is>
      </c>
      <c r="E309" s="4" t="inlineStr">
        <is>
          <t>2024-06</t>
        </is>
      </c>
      <c r="F309" s="4" t="inlineStr">
        <is>
          <t>AEMO 2024 Bundey 330/275 kV transformers</t>
        </is>
      </c>
      <c r="G309" s="4" t="n">
        <v>400</v>
      </c>
      <c r="H309" s="4" t="inlineStr">
        <is>
          <t>MVA</t>
        </is>
      </c>
      <c r="I309" s="4" t="n"/>
      <c r="J309" s="4" t="n"/>
      <c r="K309" s="4" t="n"/>
      <c r="L309" s="4" t="inlineStr">
        <is>
          <t>committed project scope</t>
        </is>
      </c>
      <c r="M309" s="4" t="inlineStr">
        <is>
          <t>Bundey substation, Stage 1 scope: 3 x 400 MVA</t>
        </is>
      </c>
      <c r="N309" s="4" t="inlineStr">
        <is>
          <t>Unit rating for three units at one substation; not a project transformer total</t>
        </is>
      </c>
      <c r="O309" s="4" t="inlineStr">
        <is>
          <t>HUM-AEMO-2024-ISP-A5</t>
        </is>
      </c>
      <c r="P309" s="4" t="inlineStr">
        <is>
          <t>17</t>
        </is>
      </c>
      <c r="Q309" s="4" t="inlineStr">
        <is>
          <t>A new 330/275 kV substation and 3 x 400 MVA 330/275 kV transformers</t>
        </is>
      </c>
      <c r="R309" s="4" t="inlineStr">
        <is>
          <t>selected</t>
        </is>
      </c>
      <c r="S309" s="4" t="inlineStr">
        <is>
          <t>Next derivative line: 'at Bundey.'</t>
        </is>
      </c>
    </row>
    <row r="310">
      <c r="A310" s="4" t="inlineStr">
        <is>
          <t>Project EnergyConnect</t>
        </is>
      </c>
      <c r="B310" s="4" t="inlineStr">
        <is>
          <t>PEC-PROJECT-PEC</t>
        </is>
      </c>
      <c r="C310" s="4" t="inlineStr">
        <is>
          <t>PEC-AO-2024-XFMR-BURONGA</t>
        </is>
      </c>
      <c r="D310" s="4" t="inlineStr">
        <is>
          <t>transformers_mva</t>
        </is>
      </c>
      <c r="E310" s="4" t="inlineStr">
        <is>
          <t>2024-06</t>
        </is>
      </c>
      <c r="F310" s="4" t="inlineStr">
        <is>
          <t>AEMO 2024 Buronga 330/220 kV transformer and phase shifting transformer</t>
        </is>
      </c>
      <c r="G310" s="4" t="n">
        <v>200</v>
      </c>
      <c r="H310" s="4" t="inlineStr">
        <is>
          <t>MVA</t>
        </is>
      </c>
      <c r="I310" s="4" t="n"/>
      <c r="J310" s="4" t="n"/>
      <c r="K310" s="4" t="n"/>
      <c r="L310" s="4" t="inlineStr">
        <is>
          <t>committed project scope</t>
        </is>
      </c>
      <c r="M310" s="4" t="inlineStr">
        <is>
          <t>Buronga substation, Stage 1 scope: 1 x 200 MVA transformer</t>
        </is>
      </c>
      <c r="N310" s="4" t="inlineStr">
        <is>
          <t>Unit rating; the same bullet also states 1 x 200 MVA 330 kV phase shifting transformer</t>
        </is>
      </c>
      <c r="O310" s="4" t="inlineStr">
        <is>
          <t>HUM-AEMO-2024-ISP-A5</t>
        </is>
      </c>
      <c r="P310" s="4" t="inlineStr">
        <is>
          <t>17</t>
        </is>
      </c>
      <c r="Q310" s="4" t="inlineStr">
        <is>
          <t>A new 330/220 kV substation, 1 x 200 MVA 330/220 kV transformer and</t>
        </is>
      </c>
      <c r="R310" s="4" t="inlineStr"/>
      <c r="S310" s="4" t="inlineStr">
        <is>
          <t>Next derivative line: '1 x 200 MVA 330 kV phase shifting transformer at Buronga.'</t>
        </is>
      </c>
    </row>
    <row r="311">
      <c r="A311" s="4" t="inlineStr">
        <is>
          <t>Project EnergyConnect</t>
        </is>
      </c>
      <c r="B311" s="4" t="inlineStr">
        <is>
          <t>PEC-PROJECT-PEC</t>
        </is>
      </c>
      <c r="C311" s="4" t="inlineStr">
        <is>
          <t>PEC-AO-2026-PST-BURONGA</t>
        </is>
      </c>
      <c r="D311" s="4" t="inlineStr">
        <is>
          <t>transformers_mva</t>
        </is>
      </c>
      <c r="E311" s="4" t="inlineStr">
        <is>
          <t>2026-06</t>
        </is>
      </c>
      <c r="F311" s="4" t="inlineStr">
        <is>
          <t>AEMO 2026 additional Buronga phase shifting transformers</t>
        </is>
      </c>
      <c r="G311" s="4" t="n">
        <v>200</v>
      </c>
      <c r="H311" s="4" t="inlineStr">
        <is>
          <t>MVA</t>
        </is>
      </c>
      <c r="I311" s="4" t="n"/>
      <c r="J311" s="4" t="n"/>
      <c r="K311" s="4" t="n"/>
      <c r="L311" s="4" t="inlineStr">
        <is>
          <t>committed project scope</t>
        </is>
      </c>
      <c r="M311" s="4" t="inlineStr">
        <is>
          <t>Buronga, Stage 2 scope: 4 x 200 MVA PST</t>
        </is>
      </c>
      <c r="N311" s="4" t="inlineStr">
        <is>
          <t>Unit rating for four additional units; phase shifting transformers are transformers in the source scope list</t>
        </is>
      </c>
      <c r="O311" s="4" t="inlineStr">
        <is>
          <t>HUM-AEMO-2026-ISP-A5</t>
        </is>
      </c>
      <c r="P311" s="4" t="inlineStr">
        <is>
          <t>16</t>
        </is>
      </c>
      <c r="Q311" s="4" t="inlineStr">
        <is>
          <t>Additional 4 x 200 megavolt amperes (MVA) 330 kV phase shifting transformers</t>
        </is>
      </c>
      <c r="R311" s="4" t="inlineStr"/>
      <c r="S311" s="4" t="inlineStr">
        <is>
          <t>Next derivative line: 'at Buronga.'</t>
        </is>
      </c>
    </row>
    <row r="312">
      <c r="A312" s="4" t="inlineStr">
        <is>
          <t>Project EnergyConnect</t>
        </is>
      </c>
      <c r="B312" s="4" t="inlineStr">
        <is>
          <t>PEC-PROJECT-PEC</t>
        </is>
      </c>
      <c r="C312" s="4" t="inlineStr">
        <is>
          <t>PEC-AO-2026-XFMR-BURONGA-ADD</t>
        </is>
      </c>
      <c r="D312" s="4" t="inlineStr">
        <is>
          <t>transformers_mva</t>
        </is>
      </c>
      <c r="E312" s="4" t="inlineStr">
        <is>
          <t>2026-06</t>
        </is>
      </c>
      <c r="F312" s="4" t="inlineStr">
        <is>
          <t>AEMO 2026 additional Buronga 330/220 kV transformers</t>
        </is>
      </c>
      <c r="G312" s="4" t="n">
        <v>200</v>
      </c>
      <c r="H312" s="4" t="inlineStr">
        <is>
          <t>MVA</t>
        </is>
      </c>
      <c r="I312" s="4" t="n"/>
      <c r="J312" s="4" t="n"/>
      <c r="K312" s="4" t="n"/>
      <c r="L312" s="4" t="inlineStr">
        <is>
          <t>committed project scope</t>
        </is>
      </c>
      <c r="M312" s="4" t="inlineStr">
        <is>
          <t>Buronga, Stage 2 scope: 2 x 200 MVA 330/220 kV</t>
        </is>
      </c>
      <c r="N312" s="4" t="inlineStr">
        <is>
          <t>Unit rating for two additional units; not a project transformer total</t>
        </is>
      </c>
      <c r="O312" s="4" t="inlineStr">
        <is>
          <t>HUM-AEMO-2026-ISP-A5</t>
        </is>
      </c>
      <c r="P312" s="4" t="inlineStr">
        <is>
          <t>16</t>
        </is>
      </c>
      <c r="Q312" s="4" t="inlineStr">
        <is>
          <t>Additional 2 x 200 MVA 330/220 kV transformers at Buronga.</t>
        </is>
      </c>
      <c r="R312" s="4" t="inlineStr"/>
      <c r="S312" s="4" t="inlineStr"/>
    </row>
    <row r="313">
      <c r="A313" s="4" t="inlineStr">
        <is>
          <t>Project EnergyConnect</t>
        </is>
      </c>
      <c r="B313" s="4" t="inlineStr">
        <is>
          <t>PEC-PROJECT-PEC</t>
        </is>
      </c>
      <c r="C313" s="4" t="inlineStr">
        <is>
          <t>PEC-AO-2026-TG-PST-COUNT</t>
        </is>
      </c>
      <c r="D313" s="4" t="inlineStr">
        <is>
          <t>transformers_mva</t>
        </is>
      </c>
      <c r="E313" s="4" t="inlineStr">
        <is>
          <t>2026-09-02</t>
        </is>
      </c>
      <c r="F313" s="4" t="inlineStr">
        <is>
          <t>Transgrid stated phase shifting transformers at Buronga</t>
        </is>
      </c>
      <c r="G313" s="4" t="n">
        <v>5</v>
      </c>
      <c r="H313" s="4" t="inlineStr">
        <is>
          <t>count</t>
        </is>
      </c>
      <c r="I313" s="4" t="n"/>
      <c r="J313" s="4" t="n"/>
      <c r="K313" s="4" t="n"/>
      <c r="L313" s="4" t="inlineStr">
        <is>
          <t>owner statement, section complete</t>
        </is>
      </c>
      <c r="M313" s="4" t="inlineStr">
        <is>
          <t>Buronga substation, NSW-Western section</t>
        </is>
      </c>
      <c r="N313" s="4" t="inlineStr">
        <is>
          <t>Owner count of installed units; no MVA rating stated on the page</t>
        </is>
      </c>
      <c r="O313" s="4" t="inlineStr">
        <is>
          <t>PEC-TG-PROJECT-PAGE</t>
        </is>
      </c>
      <c r="P313" s="4" t="inlineStr">
        <is>
          <t>derivative line 1273</t>
        </is>
      </c>
      <c r="Q313" s="4" t="inlineStr">
        <is>
          <t>15ha extension of Buronga Substation to accommodate the new 330kV and 220kV circuits and installation of 5 phase shifting transformers</t>
        </is>
      </c>
      <c r="R313" s="4" t="inlineStr"/>
      <c r="S313" s="4" t="inlineStr"/>
    </row>
    <row r="314">
      <c r="A314" s="4" t="inlineStr">
        <is>
          <t>Project EnergyConnect</t>
        </is>
      </c>
      <c r="B314" s="4" t="inlineStr">
        <is>
          <t>PEC-PROJECT-PEC</t>
        </is>
      </c>
      <c r="C314" s="4" t="inlineStr">
        <is>
          <t>PEC-AO-2020-COMMISSIONING</t>
        </is>
      </c>
      <c r="D314" s="4" t="inlineStr">
        <is>
          <t>completion</t>
        </is>
      </c>
      <c r="E314" s="4" t="inlineStr">
        <is>
          <t>2020-07</t>
        </is>
      </c>
      <c r="F314" s="4" t="inlineStr">
        <is>
          <t>AEMO 2020 staged commissioning target</t>
        </is>
      </c>
      <c r="G314" s="4" t="inlineStr">
        <is>
          <t>late 2022 to late 2023</t>
        </is>
      </c>
      <c r="H314" s="4" t="inlineStr">
        <is>
          <t>date</t>
        </is>
      </c>
      <c r="I314" s="4" t="n"/>
      <c r="J314" s="4" t="n"/>
      <c r="K314" s="4" t="n"/>
      <c r="L314" s="4" t="inlineStr">
        <is>
          <t>historical planner target</t>
        </is>
      </c>
      <c r="M314" s="4" t="inlineStr">
        <is>
          <t>Whole project, staged commissioning target</t>
        </is>
      </c>
      <c r="N314" s="4" t="inlineStr">
        <is>
          <t>A 2020 target, superseded four times; not evidence of any actual date</t>
        </is>
      </c>
      <c r="O314" s="4" t="inlineStr">
        <is>
          <t>HUM-AEMO-2020-ISP-A3</t>
        </is>
      </c>
      <c r="P314" s="4" t="inlineStr">
        <is>
          <t>27</t>
        </is>
      </c>
      <c r="Q314" s="4" t="inlineStr">
        <is>
          <t>implementation of this project is tracking ahead of schedule with commissioning targeted in stages between late</t>
        </is>
      </c>
      <c r="R314" s="4" t="inlineStr"/>
      <c r="S314" s="4" t="inlineStr">
        <is>
          <t>Sentence continues '2022 and late 2023.' on the next derivative line.</t>
        </is>
      </c>
    </row>
    <row r="315">
      <c r="A315" s="4" t="inlineStr">
        <is>
          <t>Project EnergyConnect</t>
        </is>
      </c>
      <c r="B315" s="4" t="inlineStr">
        <is>
          <t>PEC-PROJECT-PEC</t>
        </is>
      </c>
      <c r="C315" s="4" t="inlineStr">
        <is>
          <t>PEC-AO-2022-SERVICE-DATE</t>
        </is>
      </c>
      <c r="D315" s="4" t="inlineStr">
        <is>
          <t>completion</t>
        </is>
      </c>
      <c r="E315" s="4" t="inlineStr">
        <is>
          <t>2022-06</t>
        </is>
      </c>
      <c r="F315" s="4" t="inlineStr">
        <is>
          <t>AEMO 2022 ISP full-capacity service date</t>
        </is>
      </c>
      <c r="G315" s="4" t="inlineStr">
        <is>
          <t>July 2026</t>
        </is>
      </c>
      <c r="H315" s="4" t="inlineStr">
        <is>
          <t>date</t>
        </is>
      </c>
      <c r="I315" s="4" t="n"/>
      <c r="J315" s="4" t="n"/>
      <c r="K315" s="4" t="n"/>
      <c r="L315" s="4" t="inlineStr">
        <is>
          <t>historical planner timing</t>
        </is>
      </c>
      <c r="M315" s="4" t="inlineStr">
        <is>
          <t>Whole project, full capacity following inter-regional testing</t>
        </is>
      </c>
      <c r="N315" s="4" t="inlineStr">
        <is>
          <t>A full-capacity date conditional on inter-regional testing; superseded by the 2024 and 2026 ISPs</t>
        </is>
      </c>
      <c r="O315" s="4" t="inlineStr">
        <is>
          <t>HUM-AEMO-2022-ISP</t>
        </is>
      </c>
      <c r="P315" s="4" t="inlineStr">
        <is>
          <t>66</t>
        </is>
      </c>
      <c r="Q315" s="4" t="inlineStr">
        <is>
          <t>Project EnergyConnect July 2026‡ A new 330 kilovolt (kV) double-circuit interconnector between South</t>
        </is>
      </c>
      <c r="R315" s="4" t="inlineStr"/>
      <c r="S315" s="4" t="inlineStr">
        <is>
          <t>A footnote marker follows 'July 2026' in the derivative; the excerpt drops it.</t>
        </is>
      </c>
    </row>
    <row r="316">
      <c r="A316" s="4" t="inlineStr">
        <is>
          <t>Project EnergyConnect</t>
        </is>
      </c>
      <c r="B316" s="4" t="inlineStr">
        <is>
          <t>PEC-PROJECT-PEC</t>
        </is>
      </c>
      <c r="C316" s="4" t="inlineStr">
        <is>
          <t>PEC-AO-2024-SCHED-STAGE1</t>
        </is>
      </c>
      <c r="D316" s="4" t="inlineStr">
        <is>
          <t>completion</t>
        </is>
      </c>
      <c r="E316" s="4" t="inlineStr">
        <is>
          <t>2024-06</t>
        </is>
      </c>
      <c r="F316" s="4" t="inlineStr">
        <is>
          <t>AEMO 2024 Stage 1 scheduled date</t>
        </is>
      </c>
      <c r="G316" s="4" t="inlineStr">
        <is>
          <t>December 2024</t>
        </is>
      </c>
      <c r="H316" s="4" t="inlineStr">
        <is>
          <t>date</t>
        </is>
      </c>
      <c r="I316" s="4" t="n"/>
      <c r="J316" s="4" t="n"/>
      <c r="K316" s="4" t="n"/>
      <c r="L316" s="4" t="inlineStr">
        <is>
          <t>scheduled</t>
        </is>
      </c>
      <c r="M316" s="4" t="inlineStr">
        <is>
          <t>Stage 1, committed project schedule</t>
        </is>
      </c>
      <c r="N316" s="4" t="inlineStr">
        <is>
          <t>A schedule, not a completion. AEMO 2026 states Stage 1 was completed in late 2024</t>
        </is>
      </c>
      <c r="O316" s="4" t="inlineStr">
        <is>
          <t>HUM-AEMO-2024-ISP-A5</t>
        </is>
      </c>
      <c r="P316" s="4" t="inlineStr">
        <is>
          <t>17</t>
        </is>
      </c>
      <c r="Q316" s="4" t="inlineStr">
        <is>
          <t>Stage 1: December 2024</t>
        </is>
      </c>
      <c r="R316" s="4" t="inlineStr"/>
      <c r="S316" s="4" t="inlineStr"/>
    </row>
    <row r="317">
      <c r="A317" s="4" t="inlineStr">
        <is>
          <t>Project EnergyConnect</t>
        </is>
      </c>
      <c r="B317" s="4" t="inlineStr">
        <is>
          <t>PEC-PROJECT-PEC</t>
        </is>
      </c>
      <c r="C317" s="4" t="inlineStr">
        <is>
          <t>PEC-AO-2024-SCHED-STAGE2</t>
        </is>
      </c>
      <c r="D317" s="4" t="inlineStr">
        <is>
          <t>completion</t>
        </is>
      </c>
      <c r="E317" s="4" t="inlineStr">
        <is>
          <t>2024-06</t>
        </is>
      </c>
      <c r="F317" s="4" t="inlineStr">
        <is>
          <t>AEMO 2024 Stage 2 scheduled date</t>
        </is>
      </c>
      <c r="G317" s="4" t="inlineStr">
        <is>
          <t>July 2027</t>
        </is>
      </c>
      <c r="H317" s="4" t="inlineStr">
        <is>
          <t>date</t>
        </is>
      </c>
      <c r="I317" s="4" t="n"/>
      <c r="J317" s="4" t="n"/>
      <c r="K317" s="4" t="n"/>
      <c r="L317" s="4" t="inlineStr">
        <is>
          <t>scheduled</t>
        </is>
      </c>
      <c r="M317" s="4" t="inlineStr">
        <is>
          <t>Stage 2, committed project schedule</t>
        </is>
      </c>
      <c r="N317" s="4" t="inlineStr">
        <is>
          <t>A schedule conditional on inter-network testing, market conditions and good test results; superseded by November 2027 in the 2026 ISP</t>
        </is>
      </c>
      <c r="O317" s="4" t="inlineStr">
        <is>
          <t>HUM-AEMO-2024-ISP-A5</t>
        </is>
      </c>
      <c r="P317" s="4" t="inlineStr">
        <is>
          <t>17</t>
        </is>
      </c>
      <c r="Q317" s="4" t="inlineStr">
        <is>
          <t>Stage 2: July 2027</t>
        </is>
      </c>
      <c r="R317" s="4" t="inlineStr"/>
      <c r="S317" s="4" t="inlineStr">
        <is>
          <t>Footnote on p18: 'This service date refers to capacity available following completion of inter-network testing.'</t>
        </is>
      </c>
    </row>
    <row r="318">
      <c r="A318" s="4" t="inlineStr">
        <is>
          <t>Project EnergyConnect</t>
        </is>
      </c>
      <c r="B318" s="4" t="inlineStr">
        <is>
          <t>PEC-PROJECT-PEC</t>
        </is>
      </c>
      <c r="C318" s="4" t="inlineStr">
        <is>
          <t>PEC-AO-2026-STAGE1-COMPLETE</t>
        </is>
      </c>
      <c r="D318" s="4" t="inlineStr">
        <is>
          <t>completion</t>
        </is>
      </c>
      <c r="E318" s="4" t="inlineStr">
        <is>
          <t>2026-06</t>
        </is>
      </c>
      <c r="F318" s="4" t="inlineStr">
        <is>
          <t>AEMO 2026 Stage 1 completion</t>
        </is>
      </c>
      <c r="G318" s="4" t="inlineStr">
        <is>
          <t>late 2024</t>
        </is>
      </c>
      <c r="H318" s="4" t="inlineStr">
        <is>
          <t>date</t>
        </is>
      </c>
      <c r="I318" s="4" t="n"/>
      <c r="J318" s="4" t="n"/>
      <c r="K318" s="4" t="n"/>
      <c r="L318" s="4" t="inlineStr">
        <is>
          <t>completed / current planner evidence</t>
        </is>
      </c>
      <c r="M318" s="4" t="inlineStr">
        <is>
          <t>Stage 1: Robertstown (via Bundey) to Buronga</t>
        </is>
      </c>
      <c r="N318" s="4" t="inlineStr">
        <is>
          <t>The only archived statement of an actual PEC completion; it covers Stage 1 only</t>
        </is>
      </c>
      <c r="O318" s="4" t="inlineStr">
        <is>
          <t>HUM-AEMO-2026-ISP-A5</t>
        </is>
      </c>
      <c r="P318" s="4" t="inlineStr">
        <is>
          <t>16</t>
        </is>
      </c>
      <c r="Q318" s="4" t="inlineStr">
        <is>
          <t>Project EnergyConnect has been split into two stages. Stage 1 connecting Robertstown (via Bundey) to Buronga was completed in late 2024</t>
        </is>
      </c>
      <c r="R318" s="4" t="inlineStr"/>
      <c r="S318" s="4" t="inlineStr"/>
    </row>
    <row r="319">
      <c r="A319" s="4" t="inlineStr">
        <is>
          <t>Project EnergyConnect</t>
        </is>
      </c>
      <c r="B319" s="4" t="inlineStr">
        <is>
          <t>PEC-PROJECT-PEC</t>
        </is>
      </c>
      <c r="C319" s="4" t="inlineStr">
        <is>
          <t>PEC-AO-2026-STAGE2-COMMITTED</t>
        </is>
      </c>
      <c r="D319" s="4" t="inlineStr">
        <is>
          <t>completion</t>
        </is>
      </c>
      <c r="E319" s="4" t="inlineStr">
        <is>
          <t>2026-06</t>
        </is>
      </c>
      <c r="F319" s="4" t="inlineStr">
        <is>
          <t>AEMO 2026 Stage 2 committed date</t>
        </is>
      </c>
      <c r="G319" s="4" t="inlineStr">
        <is>
          <t>November 2027</t>
        </is>
      </c>
      <c r="H319" s="4" t="inlineStr">
        <is>
          <t>date</t>
        </is>
      </c>
      <c r="I319" s="4" t="n"/>
      <c r="J319" s="4" t="n"/>
      <c r="K319" s="4" t="n"/>
      <c r="L319" s="4" t="inlineStr">
        <is>
          <t>committed</t>
        </is>
      </c>
      <c r="M319" s="4" t="inlineStr">
        <is>
          <t>Stage 2, committed project</t>
        </is>
      </c>
      <c r="N319" s="4" t="inlineStr">
        <is>
          <t>A committed date, not an outturn; the owner's own page instead states NEM integration by the end of 2026</t>
        </is>
      </c>
      <c r="O319" s="4" t="inlineStr">
        <is>
          <t>HUM-AEMO-2026-ISP-A5</t>
        </is>
      </c>
      <c r="P319" s="4" t="inlineStr">
        <is>
          <t>16</t>
        </is>
      </c>
      <c r="Q319" s="4" t="inlineStr">
        <is>
          <t>project Stage 2: November 2027</t>
        </is>
      </c>
      <c r="R319" s="4" t="inlineStr">
        <is>
          <t>selected</t>
        </is>
      </c>
      <c r="S319" s="4" t="inlineStr">
        <is>
          <t>Derivative renders the table cell as 'Committed' / 'project Stage 2: November 2027'.</t>
        </is>
      </c>
    </row>
    <row r="320">
      <c r="A320" s="4" t="inlineStr">
        <is>
          <t>Project EnergyConnect</t>
        </is>
      </c>
      <c r="B320" s="4" t="inlineStr">
        <is>
          <t>PEC-PROJECT-PEC</t>
        </is>
      </c>
      <c r="C320" s="4" t="inlineStr">
        <is>
          <t>PEC-AO-2026-TG-NEM-INTEGRATION</t>
        </is>
      </c>
      <c r="D320" s="4" t="inlineStr">
        <is>
          <t>completion</t>
        </is>
      </c>
      <c r="E320" s="4" t="inlineStr">
        <is>
          <t>2026-09-02</t>
        </is>
      </c>
      <c r="F320" s="4" t="inlineStr">
        <is>
          <t>Transgrid stated NEM integration timing</t>
        </is>
      </c>
      <c r="G320" s="4" t="inlineStr">
        <is>
          <t>end of 2026</t>
        </is>
      </c>
      <c r="H320" s="4" t="inlineStr">
        <is>
          <t>date</t>
        </is>
      </c>
      <c r="I320" s="4" t="n"/>
      <c r="J320" s="4" t="n"/>
      <c r="K320" s="4" t="n"/>
      <c r="L320" s="4" t="inlineStr">
        <is>
          <t>owner statement / in progress</t>
        </is>
      </c>
      <c r="M320" s="4" t="inlineStr">
        <is>
          <t>Whole project, asset commissioning and inter-network testing</t>
        </is>
      </c>
      <c r="N320" s="4" t="inlineStr">
        <is>
          <t>Owner statement that conflicts with AEMO's November 2027 committed date; different assertion roles and dates</t>
        </is>
      </c>
      <c r="O320" s="4" t="inlineStr">
        <is>
          <t>PEC-TG-PROJECT-PAGE</t>
        </is>
      </c>
      <c r="P320" s="4" t="inlineStr">
        <is>
          <t>derivative line 1206</t>
        </is>
      </c>
      <c r="Q320" s="4" t="inlineStr">
        <is>
          <t>integration into the National Electricity Market (NEM) by the end of 2026.</t>
        </is>
      </c>
      <c r="R320" s="4" t="inlineStr"/>
      <c r="S320" s="4" t="inlineStr"/>
    </row>
    <row r="321">
      <c r="A321" s="4" t="inlineStr">
        <is>
          <t>Project EnergyConnect</t>
        </is>
      </c>
      <c r="B321" s="4" t="inlineStr">
        <is>
          <t>PEC-PROJECT-PEC</t>
        </is>
      </c>
      <c r="C321" s="4" t="inlineStr">
        <is>
          <t>PEC-AO-2026-TG-ENERGISATION</t>
        </is>
      </c>
      <c r="D321" s="4" t="inlineStr">
        <is>
          <t>completion</t>
        </is>
      </c>
      <c r="E321" s="4" t="inlineStr">
        <is>
          <t>2026-09-02</t>
        </is>
      </c>
      <c r="F321" s="4" t="inlineStr">
        <is>
          <t>Transgrid stated construction and energisation status</t>
        </is>
      </c>
      <c r="G321" s="4" t="inlineStr">
        <is>
          <t>complete</t>
        </is>
      </c>
      <c r="H321" s="4" t="inlineStr">
        <is>
          <t>date</t>
        </is>
      </c>
      <c r="I321" s="4" t="n"/>
      <c r="J321" s="4" t="n"/>
      <c r="K321" s="4" t="n"/>
      <c r="L321" s="4" t="inlineStr">
        <is>
          <t>owner statement / construction complete</t>
        </is>
      </c>
      <c r="M321" s="4" t="inlineStr">
        <is>
          <t>Whole project construction and initial energisation</t>
        </is>
      </c>
      <c r="N321" s="4" t="inlineStr">
        <is>
          <t>Construction/energisation is not full commercial capacity release; testing was still in progress at capture</t>
        </is>
      </c>
      <c r="O321" s="4" t="inlineStr">
        <is>
          <t>PEC-TG-PROJECT-PAGE</t>
        </is>
      </c>
      <c r="P321" s="4" t="inlineStr">
        <is>
          <t>derivative line 1206</t>
        </is>
      </c>
      <c r="Q321" s="4" t="inlineStr">
        <is>
          <t>Construction and initial energisation is complete for EnergyConnect</t>
        </is>
      </c>
      <c r="R321" s="4" t="inlineStr"/>
      <c r="S321" s="4" t="inlineStr"/>
    </row>
    <row r="322">
      <c r="A322" s="4" t="inlineStr">
        <is>
          <t>Project EnergyConnect</t>
        </is>
      </c>
      <c r="B322" s="4" t="inlineStr">
        <is>
          <t>PEC-PROJECT-PEC</t>
        </is>
      </c>
      <c r="C322" s="4" t="inlineStr">
        <is>
          <t>PEC-AO-2026-TG-REOPENER-COST-LETTER</t>
        </is>
      </c>
      <c r="D322" s="4" t="inlineStr">
        <is>
          <t>cost</t>
        </is>
      </c>
      <c r="E322" s="4" t="inlineStr">
        <is>
          <t>2026-02</t>
        </is>
      </c>
      <c r="F322" s="4" t="inlineStr">
        <is>
          <t>Transgrid reopener application cover letter, rounded updated PEC cost</t>
        </is>
      </c>
      <c r="G322" s="4" t="n">
        <v>3600</v>
      </c>
      <c r="H322" s="4" t="inlineStr">
        <is>
          <t>AUD million</t>
        </is>
      </c>
      <c r="I322" s="4" t="n"/>
      <c r="J322" s="4" t="n"/>
      <c r="K322" s="4" t="n"/>
      <c r="L322" s="4" t="inlineStr">
        <is>
          <t>owner application / rounded forecast statement</t>
        </is>
      </c>
      <c r="M322" s="4" t="inlineStr">
        <is>
          <t>Forecast cost 'to deliver PEC' as stated in Transgrid's reopener application cover letter; the same application's Table 3 figure ($3,628 million, real 2022-23) indicates this is Transgrid's (NSW) component only, not a whole-project figure covering ElectraNet's SA works</t>
        </is>
      </c>
      <c r="N322" s="4" t="inlineStr">
        <is>
          <t>A rounded, no-dollar-year restatement of the Table 3 figure (p30); a proponent forecast, not an AER-approved amount and not an outturn</t>
        </is>
      </c>
      <c r="O322" s="4" t="inlineStr">
        <is>
          <t>PEC-AER-2026-REOPEN</t>
        </is>
      </c>
      <c r="P322" s="4" t="inlineStr">
        <is>
          <t>2</t>
        </is>
      </c>
      <c r="Q322" s="4" t="inlineStr">
        <is>
          <t>At the start of this year, we confirmed that the forecast cost to deliver PEC had increased to $3.6 billion.</t>
        </is>
      </c>
      <c r="R322" s="4" t="inlineStr"/>
      <c r="S322" s="4" t="inlineStr">
        <is>
          <t>See PEC-AO-2026-TG-REOPENER-COST-TABLE3 for the itemised figure with its stated price basis; see PRICE_BASIS_UNKNOWN.</t>
        </is>
      </c>
    </row>
    <row r="323">
      <c r="A323" s="4" t="inlineStr">
        <is>
          <t>Project EnergyConnect</t>
        </is>
      </c>
      <c r="B323" s="4" t="inlineStr">
        <is>
          <t>PEC-PROJECT-PEC</t>
        </is>
      </c>
      <c r="C323" s="4" t="inlineStr">
        <is>
          <t>PEC-AO-2026-TG-REOPENER-COST-TABLE3</t>
        </is>
      </c>
      <c r="D323" s="4" t="inlineStr">
        <is>
          <t>cost</t>
        </is>
      </c>
      <c r="E323" s="4" t="inlineStr">
        <is>
          <t>2026-02</t>
        </is>
      </c>
      <c r="F323" s="4" t="inlineStr">
        <is>
          <t>Transgrid reopener application forecast capex to complete PEC (NSW component)</t>
        </is>
      </c>
      <c r="G323" s="4" t="n">
        <v>3628</v>
      </c>
      <c r="H323" s="4" t="inlineStr">
        <is>
          <t>AUD million</t>
        </is>
      </c>
      <c r="I323" s="4" t="inlineStr">
        <is>
          <t>Real 2022-23</t>
        </is>
      </c>
      <c r="J323" s="4" t="n"/>
      <c r="K323" s="4" t="n"/>
      <c r="L323" s="4" t="inlineStr">
        <is>
          <t>owner application / current forecast, not an AER determination</t>
        </is>
      </c>
      <c r="M323" s="4" t="inlineStr">
        <is>
          <t>TransGrid's (NSW) forecast total capital expenditure to complete Project EnergyConnect, per Table 3 of TransGrid's February 2026 application to reopen its 2023-2028 revenue determination</t>
        </is>
      </c>
      <c r="N323" s="4" t="inlineStr">
        <is>
          <t>Not comparable with the 2021 AER $2017-18 determinations (different dollar year, and this is a proponent forecast pending an AER decision, not a determination); not stated to include ElectraNet's SA component</t>
        </is>
      </c>
      <c r="O323" s="4" t="inlineStr">
        <is>
          <t>PEC-AER-2026-REOPEN</t>
        </is>
      </c>
      <c r="P323" s="4" t="inlineStr">
        <is>
          <t>30</t>
        </is>
      </c>
      <c r="Q323" s="4" t="inlineStr">
        <is>
          <t>Table 3 summarises the forecast total capital expenditure to complete PEC is $3,628 million compared to the AER’s inflation adjusted PEC CPA allowance of $2,121 million.</t>
        </is>
      </c>
      <c r="R323" s="4" t="inlineStr">
        <is>
          <t>selected</t>
        </is>
      </c>
      <c r="S323" s="4" t="inlineStr">
        <is>
          <t>The application states 'Amounts are generally provided as real 2023 $' (p6). The AER had not decided this reopener as at the 2026-09-03 research cutoff.</t>
        </is>
      </c>
    </row>
    <row r="324">
      <c r="A324" s="4" t="inlineStr">
        <is>
          <t>Project EnergyConnect</t>
        </is>
      </c>
      <c r="B324" s="4" t="inlineStr">
        <is>
          <t>PEC-PROJECT-PEC</t>
        </is>
      </c>
      <c r="C324" s="4" t="inlineStr">
        <is>
          <t>PEC-AO-2026-TG-NSW-700KM</t>
        </is>
      </c>
      <c r="D324" s="4" t="inlineStr">
        <is>
          <t>trunk_km</t>
        </is>
      </c>
      <c r="E324" s="4" t="inlineStr">
        <is>
          <t>2026-06-10</t>
        </is>
      </c>
      <c r="F324" s="4" t="inlineStr">
        <is>
          <t>Transgrid stated completed NSW section length</t>
        </is>
      </c>
      <c r="G324" s="4" t="n">
        <v>700</v>
      </c>
      <c r="H324" s="4" t="inlineStr">
        <is>
          <t>km</t>
        </is>
      </c>
      <c r="I324" s="4" t="n"/>
      <c r="J324" s="4" t="n"/>
      <c r="K324" s="4" t="n"/>
      <c r="L324" s="4" t="inlineStr">
        <is>
          <t>owner statement, construction complete</t>
        </is>
      </c>
      <c r="M324" s="4" t="inlineStr">
        <is>
          <t>NSW section, Stages 1 and 2 combined, as stated in Transgrid's June 2026 completion release</t>
        </is>
      </c>
      <c r="N324" s="4" t="inlineStr">
        <is>
          <t>Does not reconcile arithmetically with the individually stated 330/500 kV section lengths recorded elsewhere (135+375+165=675 km); the curator does not sum sections to check this</t>
        </is>
      </c>
      <c r="O324" s="4" t="inlineStr">
        <is>
          <t>PEC-TG-2026-COMPLETION</t>
        </is>
      </c>
      <c r="P324" s="4" t="inlineStr">
        <is>
          <t>derivative line 161</t>
        </is>
      </c>
      <c r="Q324" s="4" t="inlineStr">
        <is>
          <t>Transgrid and its delivery partner Elecnor Australia have completed construction of the 700km NSW section of the essential interconnector, with more than 1,500 towers and over 10,000km of high-voltage conductor.</t>
        </is>
      </c>
      <c r="R324" s="4" t="inlineStr"/>
      <c r="S324" s="4" t="inlineStr">
        <is>
          <t>The same figure ('700km of transmission lines from the South Australian border to Red Cliffs in Victoria and Wagga Wagga') recurs in the release's Fast Facts block, derivative line 184.</t>
        </is>
      </c>
    </row>
    <row r="325">
      <c r="A325" s="4" t="inlineStr">
        <is>
          <t>Project EnergyConnect</t>
        </is>
      </c>
      <c r="B325" s="4" t="inlineStr">
        <is>
          <t>PEC-PROJECT-PEC</t>
        </is>
      </c>
      <c r="C325" s="4" t="inlineStr">
        <is>
          <t>PEC-AO-2026-TG-NSW-COMPLETE</t>
        </is>
      </c>
      <c r="D325" s="4" t="inlineStr">
        <is>
          <t>completion</t>
        </is>
      </c>
      <c r="E325" s="4" t="inlineStr">
        <is>
          <t>2026-06-10</t>
        </is>
      </c>
      <c r="F325" s="4" t="inlineStr">
        <is>
          <t>Transgrid stated NSW section construction complete</t>
        </is>
      </c>
      <c r="G325" s="4" t="inlineStr">
        <is>
          <t>construction complete</t>
        </is>
      </c>
      <c r="H325" s="4" t="inlineStr">
        <is>
          <t>date</t>
        </is>
      </c>
      <c r="I325" s="4" t="n"/>
      <c r="J325" s="4" t="n"/>
      <c r="K325" s="4" t="n"/>
      <c r="L325" s="4" t="inlineStr">
        <is>
          <t>owner statement, construction complete</t>
        </is>
      </c>
      <c r="M325" s="4" t="inlineStr">
        <is>
          <t>NSW section (Stages 1 and 2), construction only; excludes Stage 2 energisation and NEM testing status</t>
        </is>
      </c>
      <c r="N325" s="4" t="inlineStr">
        <is>
          <t>Construction complete is not the same as energised, tested or integrated into the NEM; see PEC-AO-2026-TG-STAGE2-ENERGISING</t>
        </is>
      </c>
      <c r="O325" s="4" t="inlineStr">
        <is>
          <t>PEC-TG-2026-COMPLETION</t>
        </is>
      </c>
      <c r="P325" s="4" t="inlineStr">
        <is>
          <t>derivative line 161</t>
        </is>
      </c>
      <c r="Q325" s="4" t="inlineStr">
        <is>
          <t>Transgrid and its delivery partner Elecnor Australia have completed construction of the 700km NSW section of the essential interconnector, with more than 1,500 towers and over 10,000km of high-voltage conductor.</t>
        </is>
      </c>
      <c r="R325" s="4" t="inlineStr"/>
      <c r="S325" s="4" t="inlineStr"/>
    </row>
    <row r="326">
      <c r="A326" s="4" t="inlineStr">
        <is>
          <t>Project EnergyConnect</t>
        </is>
      </c>
      <c r="B326" s="4" t="inlineStr">
        <is>
          <t>PEC-PROJECT-PEC</t>
        </is>
      </c>
      <c r="C326" s="4" t="inlineStr">
        <is>
          <t>PEC-AO-2026-TG-STAGE2-ENERGISING</t>
        </is>
      </c>
      <c r="D326" s="4" t="inlineStr">
        <is>
          <t>completion</t>
        </is>
      </c>
      <c r="E326" s="4" t="inlineStr">
        <is>
          <t>2026-06-10</t>
        </is>
      </c>
      <c r="F326" s="4" t="inlineStr">
        <is>
          <t>Transgrid stated Stage 2 energisation status</t>
        </is>
      </c>
      <c r="G326" s="4" t="inlineStr">
        <is>
          <t>being energised (commissioning checks under way)</t>
        </is>
      </c>
      <c r="H326" s="4" t="inlineStr">
        <is>
          <t>date</t>
        </is>
      </c>
      <c r="I326" s="4" t="n"/>
      <c r="J326" s="4" t="n"/>
      <c r="K326" s="4" t="n"/>
      <c r="L326" s="4" t="inlineStr">
        <is>
          <t>owner statement / in progress</t>
        </is>
      </c>
      <c r="M326" s="4" t="inlineStr">
        <is>
          <t>Stage 2 (Buronga to Wagga Wagga, 540 km)</t>
        </is>
      </c>
      <c r="N326" s="4" t="inlineStr">
        <is>
          <t>Distinct from full NEM integration, which Transgrid's own project page (captured 2026-09-02) separately targets by the end of 2026, and from AEMO's committed November 2027 Stage 2 date</t>
        </is>
      </c>
      <c r="O326" s="4" t="inlineStr">
        <is>
          <t>PEC-TG-2026-COMPLETION</t>
        </is>
      </c>
      <c r="P326" s="4" t="inlineStr">
        <is>
          <t>derivative line 162</t>
        </is>
      </c>
      <c r="Q326" s="4" t="inlineStr">
        <is>
          <t>Stage 2 of EnergyConnect, the 540km line between Buronga and Wagga Wagga, is being energised following detailed commissioning checks.</t>
        </is>
      </c>
      <c r="R326" s="4" t="inlineStr"/>
      <c r="S326" s="4" t="inlineStr">
        <is>
          <t>Sentence continues: 'Later this year, the Australian Energy Market Operator will begin its inter-network testing on stage 2.'</t>
        </is>
      </c>
    </row>
    <row r="327">
      <c r="A327" s="4" t="inlineStr">
        <is>
          <t>Project EnergyConnect</t>
        </is>
      </c>
      <c r="B327" s="4" t="inlineStr">
        <is>
          <t>PEC-PROJECT-PEC</t>
        </is>
      </c>
      <c r="C327" s="4" t="inlineStr">
        <is>
          <t>PEC-AO-2026-TG-STAGE2-540KM</t>
        </is>
      </c>
      <c r="D327" s="4" t="inlineStr">
        <is>
          <t>trunk_km</t>
        </is>
      </c>
      <c r="E327" s="4" t="inlineStr">
        <is>
          <t>2026-06-10</t>
        </is>
      </c>
      <c r="F327" s="4" t="inlineStr">
        <is>
          <t>Transgrid stated Stage 2 Buronga to Wagga Wagga line length</t>
        </is>
      </c>
      <c r="G327" s="4" t="n">
        <v>540</v>
      </c>
      <c r="H327" s="4" t="inlineStr">
        <is>
          <t>km</t>
        </is>
      </c>
      <c r="I327" s="4" t="n"/>
      <c r="J327" s="4" t="n"/>
      <c r="K327" s="4" t="n"/>
      <c r="L327" s="4" t="inlineStr">
        <is>
          <t>owner statement, section complete / being energised</t>
        </is>
      </c>
      <c r="M327" s="4" t="inlineStr">
        <is>
          <t>Stage 2 line, Buronga to Wagga Wagga</t>
        </is>
      </c>
      <c r="N327" s="4" t="inlineStr">
        <is>
          <t>Matches the sum of the previously archived Buronga-Dinawan (375 km) and Dinawan-Wagga Wagga (165 km) sections; the curator records this as stated, not as a sum</t>
        </is>
      </c>
      <c r="O327" s="4" t="inlineStr">
        <is>
          <t>PEC-TG-2026-COMPLETION</t>
        </is>
      </c>
      <c r="P327" s="4" t="inlineStr">
        <is>
          <t>derivative line 162</t>
        </is>
      </c>
      <c r="Q327" s="4" t="inlineStr">
        <is>
          <t>Stage 2 of EnergyConnect, the 540km line between Buronga and Wagga Wagga, is being energised following detailed commissioning checks.</t>
        </is>
      </c>
      <c r="R327" s="4" t="inlineStr"/>
      <c r="S327" s="4" t="inlineStr"/>
    </row>
    <row r="328">
      <c r="A328" s="4" t="inlineStr">
        <is>
          <t>Project EnergyConnect</t>
        </is>
      </c>
      <c r="B328" s="4" t="inlineStr">
        <is>
          <t>PEC-PROJECT-PEC</t>
        </is>
      </c>
      <c r="C328" s="4" t="inlineStr">
        <is>
          <t>PEC-AO-2026-TG-STAGE1-OPERATIONAL</t>
        </is>
      </c>
      <c r="D328" s="4" t="inlineStr">
        <is>
          <t>completion</t>
        </is>
      </c>
      <c r="E328" s="4" t="inlineStr">
        <is>
          <t>2026-06-10</t>
        </is>
      </c>
      <c r="F328" s="4" t="inlineStr">
        <is>
          <t>Transgrid stated Stage 1 operational status and date</t>
        </is>
      </c>
      <c r="G328" s="4" t="inlineStr">
        <is>
          <t>operational (stated 'last year')</t>
        </is>
      </c>
      <c r="H328" s="4" t="inlineStr">
        <is>
          <t>date</t>
        </is>
      </c>
      <c r="I328" s="4" t="n"/>
      <c r="J328" s="4" t="n"/>
      <c r="K328" s="4" t="n"/>
      <c r="L328" s="4" t="inlineStr">
        <is>
          <t>owner statement</t>
        </is>
      </c>
      <c r="M328" s="4" t="inlineStr">
        <is>
          <t>Stage 1 (160 km line, SA border to Buronga and into Victoria)</t>
        </is>
      </c>
      <c r="N328" s="4" t="inlineStr">
        <is>
          <t>Conflicts with AEMO's 2026 ISP, which states Stage 1 (Robertstown via Bundey to Buronga) was completed in late 2024, not the prior year to a June 2026 release; both are recorded, neither resolved. See CONTRADICTION.</t>
        </is>
      </c>
      <c r="O328" s="4" t="inlineStr">
        <is>
          <t>PEC-TG-2026-COMPLETION</t>
        </is>
      </c>
      <c r="P328" s="4" t="inlineStr">
        <is>
          <t>derivative line 162</t>
        </is>
      </c>
      <c r="Q328" s="4" t="inlineStr">
        <is>
          <t>The first stage of the project, a 160km line from the South Australian border to Buronga and into Victoria, became operational last year.</t>
        </is>
      </c>
      <c r="R328" s="4" t="inlineStr"/>
      <c r="S328" s="4" t="inlineStr"/>
    </row>
    <row r="329">
      <c r="A329" s="4" t="inlineStr">
        <is>
          <t>Project EnergyConnect</t>
        </is>
      </c>
      <c r="B329" s="4" t="inlineStr">
        <is>
          <t>PEC-PROJECT-PEC</t>
        </is>
      </c>
      <c r="C329" s="4" t="inlineStr">
        <is>
          <t>PEC-AO-2026-TG-STAGE1-KM-160</t>
        </is>
      </c>
      <c r="D329" s="4" t="inlineStr">
        <is>
          <t>trunk_km</t>
        </is>
      </c>
      <c r="E329" s="4" t="inlineStr">
        <is>
          <t>2026-06-10</t>
        </is>
      </c>
      <c r="F329" s="4" t="inlineStr">
        <is>
          <t>Transgrid stated Stage 1 line length</t>
        </is>
      </c>
      <c r="G329" s="4" t="n">
        <v>160</v>
      </c>
      <c r="H329" s="4" t="inlineStr">
        <is>
          <t>km</t>
        </is>
      </c>
      <c r="I329" s="4" t="n"/>
      <c r="J329" s="4" t="n"/>
      <c r="K329" s="4" t="n"/>
      <c r="L329" s="4" t="inlineStr">
        <is>
          <t>owner statement, section complete</t>
        </is>
      </c>
      <c r="M329" s="4" t="inlineStr">
        <is>
          <t>Stage 1 line, SA border to Buronga and into Victoria</t>
        </is>
      </c>
      <c r="N329" s="4" t="inlineStr">
        <is>
          <t>An exact match for the chart's 160 km cell, but for Stage 1 alone (SA border-Buronga plus the Victorian Red Cliffs spur), not the interconnector trunk and not the same boundary as the 165 km Dinawan-Wagga Wagga section</t>
        </is>
      </c>
      <c r="O329" s="4" t="inlineStr">
        <is>
          <t>PEC-TG-2026-COMPLETION</t>
        </is>
      </c>
      <c r="P329" s="4" t="inlineStr">
        <is>
          <t>derivative line 162</t>
        </is>
      </c>
      <c r="Q329" s="4" t="inlineStr">
        <is>
          <t>The first stage of the project, a 160km line from the South Australian border to Buronga and into Victoria, became operational last year.</t>
        </is>
      </c>
      <c r="R329" s="4" t="inlineStr">
        <is>
          <t>selected</t>
        </is>
      </c>
      <c r="S329" s="4" t="inlineStr"/>
    </row>
    <row r="330">
      <c r="A330" s="4" t="inlineStr">
        <is>
          <t>Project EnergyConnect</t>
        </is>
      </c>
      <c r="B330" s="4" t="inlineStr">
        <is>
          <t>PEC-PROJECT-PEC</t>
        </is>
      </c>
      <c r="C330" s="4" t="inlineStr">
        <is>
          <t>PEC-AO-2026-JOINT-KM-900</t>
        </is>
      </c>
      <c r="D330" s="4" t="inlineStr">
        <is>
          <t>trunk_km</t>
        </is>
      </c>
      <c r="E330" s="4" t="inlineStr">
        <is>
          <t>2026-09</t>
        </is>
      </c>
      <c r="F330" s="4" t="inlineStr">
        <is>
          <t>Joint project page stated total EnergyConnect route length</t>
        </is>
      </c>
      <c r="G330" s="4" t="n">
        <v>900</v>
      </c>
      <c r="H330" s="4" t="inlineStr">
        <is>
          <t>km</t>
        </is>
      </c>
      <c r="I330" s="4" t="n"/>
      <c r="J330" s="4" t="n"/>
      <c r="K330" s="4" t="n"/>
      <c r="L330" s="4" t="inlineStr">
        <is>
          <t>owner statement</t>
        </is>
      </c>
      <c r="M330" s="4" t="inlineStr">
        <is>
          <t>Whole Project EnergyConnect route, approximate total length, per the joint ElectraNet/Transgrid project page</t>
        </is>
      </c>
      <c r="N330" s="4" t="inlineStr">
        <is>
          <t>Corroborates Transgrid's own page (PEC-AO-2026-KM-WHOLE, also 900 km); a different, joint source</t>
        </is>
      </c>
      <c r="O330" s="4" t="inlineStr">
        <is>
          <t>PEC-JOINT-2026-PROJECT-PAGE</t>
        </is>
      </c>
      <c r="P330" s="4" t="inlineStr">
        <is>
          <t>derivative line 69</t>
        </is>
      </c>
      <c r="Q330" s="4" t="inlineStr">
        <is>
          <t>Approximate total length of 900km</t>
        </is>
      </c>
      <c r="R330" s="4" t="inlineStr"/>
      <c r="S330" s="4" t="inlineStr"/>
    </row>
    <row r="331">
      <c r="A331" s="4" t="inlineStr">
        <is>
          <t>Project EnergyConnect</t>
        </is>
      </c>
      <c r="B331" s="4" t="inlineStr">
        <is>
          <t>PEC-PROJECT-PEC</t>
        </is>
      </c>
      <c r="C331" s="4" t="inlineStr">
        <is>
          <t>PEC-AO-2026-JOINT-KM-700-NSW</t>
        </is>
      </c>
      <c r="D331" s="4" t="inlineStr">
        <is>
          <t>trunk_km</t>
        </is>
      </c>
      <c r="E331" s="4" t="inlineStr">
        <is>
          <t>2026-09</t>
        </is>
      </c>
      <c r="F331" s="4" t="inlineStr">
        <is>
          <t>Joint project page stated NSW section length</t>
        </is>
      </c>
      <c r="G331" s="4" t="n">
        <v>700</v>
      </c>
      <c r="H331" s="4" t="inlineStr">
        <is>
          <t>km</t>
        </is>
      </c>
      <c r="I331" s="4" t="n"/>
      <c r="J331" s="4" t="n"/>
      <c r="K331" s="4" t="n"/>
      <c r="L331" s="4" t="inlineStr">
        <is>
          <t>owner statement, construction described as in progress</t>
        </is>
      </c>
      <c r="M331" s="4" t="inlineStr">
        <is>
          <t>NSW section, per the joint ElectraNet/Transgrid project page</t>
        </is>
      </c>
      <c r="N331" s="4" t="inlineStr">
        <is>
          <t>Matches the 700 km figure in Transgrid's June 2026 completion release exactly, despite this page's 'Current status' text describing NSW construction as still under way rather than complete; the joint page's construction narrative appears not to have been updated to match the completion release</t>
        </is>
      </c>
      <c r="O331" s="4" t="inlineStr">
        <is>
          <t>PEC-JOINT-2026-PROJECT-PAGE</t>
        </is>
      </c>
      <c r="P331" s="4" t="inlineStr">
        <is>
          <t>derivative line 20</t>
        </is>
      </c>
      <c r="Q331" s="4" t="inlineStr">
        <is>
          <t>the 700km NSW section of this nation-critical infrastructure.</t>
        </is>
      </c>
      <c r="R331" s="4" t="inlineStr"/>
      <c r="S331" s="4" t="inlineStr">
        <is>
          <t>Preceding text: 'Transgrid and its construction partner Elecnor Australia are getting on with the job of delivering'.</t>
        </is>
      </c>
    </row>
    <row r="332">
      <c r="A332" s="4" t="inlineStr">
        <is>
          <t>Project EnergyConnect</t>
        </is>
      </c>
      <c r="B332" s="4" t="inlineStr">
        <is>
          <t>PEC-PROJECT-PEC</t>
        </is>
      </c>
      <c r="C332" s="4" t="inlineStr">
        <is>
          <t>PEC-AO-2026-JOINT-CAP-800MW</t>
        </is>
      </c>
      <c r="D332" s="4" t="inlineStr">
        <is>
          <t>capacity</t>
        </is>
      </c>
      <c r="E332" s="4" t="inlineStr">
        <is>
          <t>2026-09</t>
        </is>
      </c>
      <c r="F332" s="4" t="inlineStr">
        <is>
          <t>Joint project page stated interconnector transfer capacity</t>
        </is>
      </c>
      <c r="G332" s="4" t="n">
        <v>800</v>
      </c>
      <c r="H332" s="4" t="inlineStr">
        <is>
          <t>MW</t>
        </is>
      </c>
      <c r="I332" s="4" t="n"/>
      <c r="J332" s="4" t="n"/>
      <c r="K332" s="4" t="n"/>
      <c r="L332" s="4" t="inlineStr">
        <is>
          <t>owner statement</t>
        </is>
      </c>
      <c r="M332" s="4" t="inlineStr">
        <is>
          <t>Whole interconnector, approximate transfer capacity, per the joint ElectraNet/Transgrid project page</t>
        </is>
      </c>
      <c r="N332" s="4" t="inlineStr">
        <is>
          <t>Corroborates AEMO's 800 MW NSW-SA post-Stage-2 figure (PEC-AO-2026-CAP-POST-STAGE2); still 0.8 GW, not a project-wide GW total, and not 2.2 GW</t>
        </is>
      </c>
      <c r="O332" s="4" t="inlineStr">
        <is>
          <t>PEC-JOINT-2026-PROJECT-PAGE</t>
        </is>
      </c>
      <c r="P332" s="4" t="inlineStr">
        <is>
          <t>derivative line 33</t>
        </is>
      </c>
      <c r="Q332" s="4" t="inlineStr">
        <is>
          <t>with approximately
800MW transfer capacity.</t>
        </is>
      </c>
      <c r="R332" s="4" t="inlineStr"/>
      <c r="S332" s="4" t="inlineStr">
        <is>
          <t>Preceding text: 'Project EnergyConnect involves the construction of a new 330 kilovolt (kV) above ground transmission line, with approximately'.</t>
        </is>
      </c>
    </row>
    <row r="333">
      <c r="A333" s="4" t="inlineStr">
        <is>
          <t>Sydney Ring South (Reinforcing Sydney, Newcastle and Wollongong Supply)</t>
        </is>
      </c>
      <c r="B333" s="4" t="inlineStr">
        <is>
          <t>SRS-PROJECT-SRS</t>
        </is>
      </c>
      <c r="C333" s="4" t="inlineStr">
        <is>
          <t>SRS-AO-2026-PFC-COST</t>
        </is>
      </c>
      <c r="D333" s="4" t="inlineStr">
        <is>
          <t>cost</t>
        </is>
      </c>
      <c r="E333" s="4" t="inlineStr">
        <is>
          <t>2026-06</t>
        </is>
      </c>
      <c r="F333" s="4" t="inlineStr">
        <is>
          <t>AEMO 2026 ISP power flow control option reported cost</t>
        </is>
      </c>
      <c r="G333" s="4" t="n">
        <v>261</v>
      </c>
      <c r="H333" s="4" t="inlineStr">
        <is>
          <t>AUD million</t>
        </is>
      </c>
      <c r="I333" s="4" t="inlineStr">
        <is>
          <t>$2025</t>
        </is>
      </c>
      <c r="J333" s="4" t="inlineStr">
        <is>
          <t>Class 5</t>
        </is>
      </c>
      <c r="K333" s="4" t="inlineStr">
        <is>
          <t>±50%</t>
        </is>
      </c>
      <c r="L333" s="4" t="inlineStr">
        <is>
          <t>actionable ISP option / planner-modelled proponent estimate</t>
        </is>
      </c>
      <c r="M333" s="4" t="inlineStr">
        <is>
          <t>Power flow control augmentation (CNSW-SNW Option 2d) only; excludes the 500 kV transmission option</t>
        </is>
      </c>
      <c r="N333" s="4" t="inlineStr">
        <is>
          <t>Not like-for-like with the PADR Option 6 nominal estimate: different price basis ($2025 vs nominal) and scope</t>
        </is>
      </c>
      <c r="O333" s="4" t="inlineStr">
        <is>
          <t>HUM-AEMO-2026-ISP-A5</t>
        </is>
      </c>
      <c r="P333" s="4" t="inlineStr">
        <is>
          <t>43</t>
        </is>
      </c>
      <c r="Q333" s="4" t="inlineStr">
        <is>
          <t>$2,621 million, consisting of $261 million (power flow control option) and $2,360 million (500 kV transmission option)</t>
        </is>
      </c>
      <c r="R333" s="4" t="inlineStr"/>
      <c r="S333" s="4" t="inlineStr">
        <is>
          <t>Table cell reads 261 with footnotes 85 and 86; footnote 85 gives the price basis and the split.</t>
        </is>
      </c>
    </row>
    <row r="334">
      <c r="A334" s="4" t="inlineStr">
        <is>
          <t>Sydney Ring South (Reinforcing Sydney, Newcastle and Wollongong Supply)</t>
        </is>
      </c>
      <c r="B334" s="4" t="inlineStr">
        <is>
          <t>SRS-PROJECT-SRS</t>
        </is>
      </c>
      <c r="C334" s="4" t="inlineStr">
        <is>
          <t>SRS-AO-2026-LINE-COST</t>
        </is>
      </c>
      <c r="D334" s="4" t="inlineStr">
        <is>
          <t>cost</t>
        </is>
      </c>
      <c r="E334" s="4" t="inlineStr">
        <is>
          <t>2026-06</t>
        </is>
      </c>
      <c r="F334" s="4" t="inlineStr">
        <is>
          <t>AEMO 2026 ISP Bannaby–South Creek 500 kV option reported cost</t>
        </is>
      </c>
      <c r="G334" s="4" t="n">
        <v>2360</v>
      </c>
      <c r="H334" s="4" t="inlineStr">
        <is>
          <t>AUD million</t>
        </is>
      </c>
      <c r="I334" s="4" t="inlineStr">
        <is>
          <t>$2025</t>
        </is>
      </c>
      <c r="J334" s="4" t="inlineStr">
        <is>
          <t>Class 5</t>
        </is>
      </c>
      <c r="K334" s="4" t="inlineStr">
        <is>
          <t>±50%</t>
        </is>
      </c>
      <c r="L334" s="4" t="inlineStr">
        <is>
          <t>actionable ISP option / planner-modelled proponent estimate</t>
        </is>
      </c>
      <c r="M334" s="4" t="inlineStr">
        <is>
          <t>Sydney Ring South 500 kV transmission (CNSW-SNW Option 3) only; excludes the power flow control option</t>
        </is>
      </c>
      <c r="N334" s="4" t="inlineStr">
        <is>
          <t>Not like-for-like with the PADR Option 6 nominal estimate: different price basis and scope</t>
        </is>
      </c>
      <c r="O334" s="4" t="inlineStr">
        <is>
          <t>HUM-AEMO-2026-ISP-A5</t>
        </is>
      </c>
      <c r="P334" s="4" t="inlineStr">
        <is>
          <t>43</t>
        </is>
      </c>
      <c r="Q334" s="4" t="inlineStr">
        <is>
          <t>$2,621 million, consisting of $261 million (power flow control option) and $2,360 million (500 kV transmission option)</t>
        </is>
      </c>
      <c r="R334" s="4" t="inlineStr"/>
      <c r="S334" s="4" t="inlineStr">
        <is>
          <t>Table cell on p.44 reads 2,360 with footnote 85; footnote 85 on p.43 states the basis.</t>
        </is>
      </c>
    </row>
    <row r="335">
      <c r="A335" s="4" t="inlineStr">
        <is>
          <t>Sydney Ring South (Reinforcing Sydney, Newcastle and Wollongong Supply)</t>
        </is>
      </c>
      <c r="B335" s="4" t="inlineStr">
        <is>
          <t>SRS-PROJECT-SRS</t>
        </is>
      </c>
      <c r="C335" s="4" t="inlineStr">
        <is>
          <t>SRS-AO-2026-COMBINED-COST</t>
        </is>
      </c>
      <c r="D335" s="4" t="inlineStr">
        <is>
          <t>cost</t>
        </is>
      </c>
      <c r="E335" s="4" t="inlineStr">
        <is>
          <t>2026-06</t>
        </is>
      </c>
      <c r="F335" s="4" t="inlineStr">
        <is>
          <t>AEMO 2026 ISP modelled total for both Sydney Ring South options</t>
        </is>
      </c>
      <c r="G335" s="4" t="n">
        <v>2621</v>
      </c>
      <c r="H335" s="4" t="inlineStr">
        <is>
          <t>AUD million</t>
        </is>
      </c>
      <c r="I335" s="4" t="inlineStr">
        <is>
          <t>$2025</t>
        </is>
      </c>
      <c r="J335" s="4" t="inlineStr">
        <is>
          <t>Class 5</t>
        </is>
      </c>
      <c r="K335" s="4" t="inlineStr">
        <is>
          <t>±50%</t>
        </is>
      </c>
      <c r="L335" s="4" t="inlineStr">
        <is>
          <t>modelled total stated by AEMO</t>
        </is>
      </c>
      <c r="M335" s="4" t="inlineStr">
        <is>
          <t>Both actionable options combined, as supplied by Transgrid for the 2025 Electricity Network Options Report and modelled in the 2026 ISP</t>
        </is>
      </c>
      <c r="N335" s="4" t="inlineStr">
        <is>
          <t>Source-stated combined boundary; not comparable with the PADR Option 6 nominal capital cost estimate</t>
        </is>
      </c>
      <c r="O335" s="4" t="inlineStr">
        <is>
          <t>HUM-AEMO-2026-ISP-A5</t>
        </is>
      </c>
      <c r="P335" s="4" t="inlineStr">
        <is>
          <t>43</t>
        </is>
      </c>
      <c r="Q335" s="4" t="inlineStr">
        <is>
          <t>$2,621 million, consisting of $261 million (power flow control option) and $2,360 million (500 kV transmission option)</t>
        </is>
      </c>
      <c r="R335" s="4" t="inlineStr"/>
      <c r="S335" s="4" t="inlineStr">
        <is>
          <t>AEMO states the composition itself; the pack does not sum the components.</t>
        </is>
      </c>
    </row>
    <row r="336">
      <c r="A336" s="4" t="inlineStr">
        <is>
          <t>Sydney Ring South (Reinforcing Sydney, Newcastle and Wollongong Supply)</t>
        </is>
      </c>
      <c r="B336" s="4" t="inlineStr">
        <is>
          <t>SRS-PROJECT-SRS</t>
        </is>
      </c>
      <c r="C336" s="4" t="inlineStr">
        <is>
          <t>SRS-AO-2026-PADR-OPT6-NOMINAL</t>
        </is>
      </c>
      <c r="D336" s="4" t="inlineStr">
        <is>
          <t>cost</t>
        </is>
      </c>
      <c r="E336" s="4" t="inlineStr">
        <is>
          <t>2026-06</t>
        </is>
      </c>
      <c r="F336" s="4" t="inlineStr">
        <is>
          <t>Transgrid PADR Option 6 capital cost estimate as quoted by AEMO</t>
        </is>
      </c>
      <c r="G336" s="4" t="n">
        <v>3519</v>
      </c>
      <c r="H336" s="4" t="inlineStr">
        <is>
          <t>AUD million</t>
        </is>
      </c>
      <c r="I336" s="4" t="inlineStr">
        <is>
          <t>Nominal (Transgrid applied escalation to 2025-26 estimates)</t>
        </is>
      </c>
      <c r="J336" s="4" t="n"/>
      <c r="K336" s="4" t="n"/>
      <c r="L336" s="4" t="inlineStr">
        <is>
          <t>proponent PADR estimate, quoted secondhand by AEMO</t>
        </is>
      </c>
      <c r="M336" s="4" t="inlineStr">
        <is>
          <t>PADR Option 6: staged delivery of both the power flow control option and the 500 kV transmission line</t>
        </is>
      </c>
      <c r="N336" s="4" t="inlineStr">
        <is>
          <t>Nominal, escalation-inclusive proponent estimate; not comparable with the $2025 modelled amounts</t>
        </is>
      </c>
      <c r="O336" s="4" t="inlineStr">
        <is>
          <t>HUM-AEMO-2026-ISP-A5</t>
        </is>
      </c>
      <c r="P336" s="4" t="inlineStr">
        <is>
          <t>43</t>
        </is>
      </c>
      <c r="Q336" s="4" t="inlineStr">
        <is>
          <t>Transgrid’s Sydney Ring South PADR has identified the preferred option (PADR Option 6) with a capital cost estimate of $3,519 million (nominal).</t>
        </is>
      </c>
      <c r="R336" s="4" t="inlineStr"/>
      <c r="S336" s="4" t="inlineStr">
        <is>
          <t>The PADR itself is unavailable (SRS-TG-PADR-DIRECT, SRS-TG-PADR-INDEX). AEMO's quoted figure is $3,519m, not the $3,510m used in the chart notes.</t>
        </is>
      </c>
    </row>
    <row r="337">
      <c r="A337" s="4" t="inlineStr">
        <is>
          <t>Sydney Ring South (Reinforcing Sydney, Newcastle and Wollongong Supply)</t>
        </is>
      </c>
      <c r="B337" s="4" t="inlineStr">
        <is>
          <t>SRS-PROJECT-SRS</t>
        </is>
      </c>
      <c r="C337" s="4" t="inlineStr">
        <is>
          <t>SRS-AO-2026-PADR-RANK1-LOW</t>
        </is>
      </c>
      <c r="D337" s="4" t="inlineStr">
        <is>
          <t>cost</t>
        </is>
      </c>
      <c r="E337" s="4" t="inlineStr">
        <is>
          <t>2026-06</t>
        </is>
      </c>
      <c r="F337" s="4" t="inlineStr">
        <is>
          <t>Lowest of the four equal-ranked first PADR options</t>
        </is>
      </c>
      <c r="G337" s="4" t="n">
        <v>3353</v>
      </c>
      <c r="H337" s="4" t="inlineStr">
        <is>
          <t>AUD million</t>
        </is>
      </c>
      <c r="I337" s="4" t="inlineStr">
        <is>
          <t>Nominal</t>
        </is>
      </c>
      <c r="J337" s="4" t="n"/>
      <c r="K337" s="4" t="n"/>
      <c r="L337" s="4" t="inlineStr">
        <is>
          <t>proponent PADR estimate range, quoted by AEMO</t>
        </is>
      </c>
      <c r="M337" s="4" t="inlineStr">
        <is>
          <t>PADR Options 3, 4, 5 and 6 range, low end</t>
        </is>
      </c>
      <c r="N337" s="4" t="inlineStr">
        <is>
          <t>Range end for a set of options, not a project total</t>
        </is>
      </c>
      <c r="O337" s="4" t="inlineStr">
        <is>
          <t>HUM-AEMO-2026-ISP-A5</t>
        </is>
      </c>
      <c r="P337" s="4" t="inlineStr">
        <is>
          <t>43</t>
        </is>
      </c>
      <c r="Q337" s="4" t="inlineStr">
        <is>
          <t>first options (PADR Option 3, 4, 5, 6) have capital cost estimates between $3,353 million (nominal) and $4,915 million (nominal).</t>
        </is>
      </c>
      <c r="R337" s="4" t="inlineStr"/>
      <c r="S337" s="4" t="inlineStr"/>
    </row>
    <row r="338">
      <c r="A338" s="4" t="inlineStr">
        <is>
          <t>Sydney Ring South (Reinforcing Sydney, Newcastle and Wollongong Supply)</t>
        </is>
      </c>
      <c r="B338" s="4" t="inlineStr">
        <is>
          <t>SRS-PROJECT-SRS</t>
        </is>
      </c>
      <c r="C338" s="4" t="inlineStr">
        <is>
          <t>SRS-AO-2026-PADR-RANK1-HIGH</t>
        </is>
      </c>
      <c r="D338" s="4" t="inlineStr">
        <is>
          <t>cost</t>
        </is>
      </c>
      <c r="E338" s="4" t="inlineStr">
        <is>
          <t>2026-06</t>
        </is>
      </c>
      <c r="F338" s="4" t="inlineStr">
        <is>
          <t>Highest of the four equal-ranked first PADR options</t>
        </is>
      </c>
      <c r="G338" s="4" t="n">
        <v>4915</v>
      </c>
      <c r="H338" s="4" t="inlineStr">
        <is>
          <t>AUD million</t>
        </is>
      </c>
      <c r="I338" s="4" t="inlineStr">
        <is>
          <t>Nominal</t>
        </is>
      </c>
      <c r="J338" s="4" t="n"/>
      <c r="K338" s="4" t="n"/>
      <c r="L338" s="4" t="inlineStr">
        <is>
          <t>proponent PADR estimate range, quoted by AEMO</t>
        </is>
      </c>
      <c r="M338" s="4" t="inlineStr">
        <is>
          <t>PADR Options 3, 4, 5 and 6 range, high end</t>
        </is>
      </c>
      <c r="N338" s="4" t="inlineStr">
        <is>
          <t>Range end for a set of options, not a project total</t>
        </is>
      </c>
      <c r="O338" s="4" t="inlineStr">
        <is>
          <t>HUM-AEMO-2026-ISP-A5</t>
        </is>
      </c>
      <c r="P338" s="4" t="inlineStr">
        <is>
          <t>43</t>
        </is>
      </c>
      <c r="Q338" s="4" t="inlineStr">
        <is>
          <t>first options (PADR Option 3, 4, 5, 6) have capital cost estimates between $3,353 million (nominal) and $4,915 million (nominal).</t>
        </is>
      </c>
      <c r="R338" s="4" t="inlineStr"/>
      <c r="S338" s="4" t="inlineStr"/>
    </row>
    <row r="339">
      <c r="A339" s="4" t="inlineStr">
        <is>
          <t>Sydney Ring South (Reinforcing Sydney, Newcastle and Wollongong Supply)</t>
        </is>
      </c>
      <c r="B339" s="4" t="inlineStr">
        <is>
          <t>SRS-PROJECT-SRS</t>
        </is>
      </c>
      <c r="C339" s="4" t="inlineStr">
        <is>
          <t>SRS-AO-2024-OPT2D-COST</t>
        </is>
      </c>
      <c r="D339" s="4" t="inlineStr">
        <is>
          <t>cost</t>
        </is>
      </c>
      <c r="E339" s="4" t="inlineStr">
        <is>
          <t>2024-06</t>
        </is>
      </c>
      <c r="F339" s="4" t="inlineStr">
        <is>
          <t>AEMO 2024 ISP Option 2d expected cost</t>
        </is>
      </c>
      <c r="G339" s="4" t="n">
        <v>221</v>
      </c>
      <c r="H339" s="4" t="inlineStr">
        <is>
          <t>AUD million</t>
        </is>
      </c>
      <c r="I339" s="4" t="inlineStr">
        <is>
          <t>$2022-23</t>
        </is>
      </c>
      <c r="J339" s="4" t="inlineStr">
        <is>
          <t>Class 5b</t>
        </is>
      </c>
      <c r="K339" s="4" t="inlineStr">
        <is>
          <t>±50%</t>
        </is>
      </c>
      <c r="L339" s="4" t="inlineStr">
        <is>
          <t>actionable ISP option (2024 ISP)</t>
        </is>
      </c>
      <c r="M339" s="4" t="inlineStr">
        <is>
          <t>Greater Western Sydney switching station and modular power flow controllers (Option 2d) only</t>
        </is>
      </c>
      <c r="N339" s="4" t="inlineStr">
        <is>
          <t>Earlier scope and price basis; not a prior version of the 2026 $2025 amounts</t>
        </is>
      </c>
      <c r="O339" s="4" t="inlineStr">
        <is>
          <t>HUM-AEMO-2024-ISP-A5</t>
        </is>
      </c>
      <c r="P339" s="4" t="inlineStr">
        <is>
          <t>27, 28</t>
        </is>
      </c>
      <c r="Q339" s="4" t="inlineStr">
        <is>
          <t>^ Transgrid’s preparatory activity addendum cost estimate of $225 million ($2023-24) has been converted to ($2022-23).</t>
        </is>
      </c>
      <c r="R339" s="4" t="inlineStr"/>
      <c r="S339" s="4" t="inlineStr">
        <is>
          <t>Table cell on p.27 reads 221^; footnote ^ on p.28 states the conversion and price basis.</t>
        </is>
      </c>
    </row>
    <row r="340">
      <c r="A340" s="4" t="inlineStr">
        <is>
          <t>Sydney Ring South (Reinforcing Sydney, Newcastle and Wollongong Supply)</t>
        </is>
      </c>
      <c r="B340" s="4" t="inlineStr">
        <is>
          <t>SRS-PROJECT-SRS</t>
        </is>
      </c>
      <c r="C340" s="4" t="inlineStr">
        <is>
          <t>SRS-AO-2026-LINE-CAPACITY-FWD</t>
        </is>
      </c>
      <c r="D340" s="4" t="inlineStr">
        <is>
          <t>capacity</t>
        </is>
      </c>
      <c r="E340" s="4" t="inlineStr">
        <is>
          <t>2026-06</t>
        </is>
      </c>
      <c r="F340" s="4" t="inlineStr">
        <is>
          <t>Additional forward network capacity, 500 kV transmission option</t>
        </is>
      </c>
      <c r="G340" s="4" t="n">
        <v>3600</v>
      </c>
      <c r="H340" s="4" t="inlineStr">
        <is>
          <t>MW</t>
        </is>
      </c>
      <c r="I340" s="4" t="n"/>
      <c r="J340" s="4" t="n"/>
      <c r="K340" s="4" t="n"/>
      <c r="L340" s="4" t="inlineStr">
        <is>
          <t>actionable ISP option</t>
        </is>
      </c>
      <c r="M340" s="4" t="inlineStr">
        <is>
          <t>Sydney Ring South 500 kV transmission (CNSW-SNW Option 3); forward direction</t>
        </is>
      </c>
      <c r="N340" s="4" t="inlineStr">
        <is>
          <t>Option-level additional capacity, not a total flow-path rating</t>
        </is>
      </c>
      <c r="O340" s="4" t="inlineStr">
        <is>
          <t>HUM-AEMO-2026-ISP-A5</t>
        </is>
      </c>
      <c r="P340" s="4" t="inlineStr">
        <is>
          <t>44</t>
        </is>
      </c>
      <c r="Q340" s="4" t="inlineStr">
        <is>
          <t>SNW1: 3,600 MW</t>
        </is>
      </c>
      <c r="R340" s="4" t="inlineStr"/>
      <c r="S340" s="4" t="inlineStr">
        <is>
          <t>The same table states Forward: 3,600 MW and SNW1: 3,600 MW; the power flow control option is stated at 0 MW forward.</t>
        </is>
      </c>
    </row>
    <row r="341">
      <c r="A341" s="4" t="inlineStr">
        <is>
          <t>Sydney Ring South (Reinforcing Sydney, Newcastle and Wollongong Supply)</t>
        </is>
      </c>
      <c r="B341" s="4" t="inlineStr">
        <is>
          <t>SRS-PROJECT-SRS</t>
        </is>
      </c>
      <c r="C341" s="4" t="inlineStr">
        <is>
          <t>SRS-AO-2026-REZ-N11N12</t>
        </is>
      </c>
      <c r="D341" s="4" t="inlineStr">
        <is>
          <t>capacity</t>
        </is>
      </c>
      <c r="E341" s="4" t="inlineStr">
        <is>
          <t>2026-06</t>
        </is>
      </c>
      <c r="F341" s="4" t="inlineStr">
        <is>
          <t>REZ N11 + N12 capacity attributed to the 500 kV option</t>
        </is>
      </c>
      <c r="G341" s="4" t="n">
        <v>2000</v>
      </c>
      <c r="H341" s="4" t="inlineStr">
        <is>
          <t>MW</t>
        </is>
      </c>
      <c r="I341" s="4" t="n"/>
      <c r="J341" s="4" t="n"/>
      <c r="K341" s="4" t="n"/>
      <c r="L341" s="4" t="inlineStr">
        <is>
          <t>actionable ISP option</t>
        </is>
      </c>
      <c r="M341" s="4" t="inlineStr">
        <is>
          <t>REZ N11 + N12 hosting attributed to CNSW-SNW Option 3</t>
        </is>
      </c>
      <c r="N341" s="4" t="inlineStr">
        <is>
          <t>REZ-specific figure; not additive with the 3,600 MW forward capacity</t>
        </is>
      </c>
      <c r="O341" s="4" t="inlineStr">
        <is>
          <t>HUM-AEMO-2026-ISP-A5</t>
        </is>
      </c>
      <c r="P341" s="4" t="inlineStr">
        <is>
          <t>44</t>
        </is>
      </c>
      <c r="Q341" s="4" t="inlineStr">
        <is>
          <t>REZ: N11 + N12: 2,000 MW</t>
        </is>
      </c>
      <c r="R341" s="4" t="inlineStr"/>
      <c r="S341" s="4" t="inlineStr"/>
    </row>
    <row r="342">
      <c r="A342" s="4" t="inlineStr">
        <is>
          <t>Sydney Ring South (Reinforcing Sydney, Newcastle and Wollongong Supply)</t>
        </is>
      </c>
      <c r="B342" s="4" t="inlineStr">
        <is>
          <t>SRS-PROJECT-SRS</t>
        </is>
      </c>
      <c r="C342" s="4" t="inlineStr">
        <is>
          <t>SRS-AO-2026-PFC-CAPACITY-FWD</t>
        </is>
      </c>
      <c r="D342" s="4" t="inlineStr">
        <is>
          <t>capacity</t>
        </is>
      </c>
      <c r="E342" s="4" t="inlineStr">
        <is>
          <t>2026-06</t>
        </is>
      </c>
      <c r="F342" s="4" t="inlineStr">
        <is>
          <t>Additional forward network capacity, power flow control option</t>
        </is>
      </c>
      <c r="G342" s="4" t="n">
        <v>0</v>
      </c>
      <c r="H342" s="4" t="inlineStr">
        <is>
          <t>MW</t>
        </is>
      </c>
      <c r="I342" s="4" t="n"/>
      <c r="J342" s="4" t="n"/>
      <c r="K342" s="4" t="n"/>
      <c r="L342" s="4" t="inlineStr">
        <is>
          <t>actionable ISP option</t>
        </is>
      </c>
      <c r="M342" s="4" t="inlineStr">
        <is>
          <t>Power flow control augmentation (CNSW-SNW Option 2d); forward direction</t>
        </is>
      </c>
      <c r="N342" s="4" t="inlineStr">
        <is>
          <t>Zero additional forward capacity; the benefit is stated as improved flow sharing</t>
        </is>
      </c>
      <c r="O342" s="4" t="inlineStr">
        <is>
          <t>HUM-AEMO-2026-ISP-A5</t>
        </is>
      </c>
      <c r="P342" s="4" t="inlineStr">
        <is>
          <t>43</t>
        </is>
      </c>
      <c r="Q342" s="4" t="inlineStr">
        <is>
          <t>Forward: 0 MW</t>
        </is>
      </c>
      <c r="R342" s="4" t="inlineStr"/>
      <c r="S342" s="4" t="inlineStr"/>
    </row>
    <row r="343">
      <c r="A343" s="4" t="inlineStr">
        <is>
          <t>Sydney Ring South (Reinforcing Sydney, Newcastle and Wollongong Supply)</t>
        </is>
      </c>
      <c r="B343" s="4" t="inlineStr">
        <is>
          <t>SRS-PROJECT-SRS</t>
        </is>
      </c>
      <c r="C343" s="4" t="inlineStr">
        <is>
          <t>SRS-AO-2026-EXISTING-PEAK</t>
        </is>
      </c>
      <c r="D343" s="4" t="inlineStr">
        <is>
          <t>capacity</t>
        </is>
      </c>
      <c r="E343" s="4" t="inlineStr">
        <is>
          <t>2026-06</t>
        </is>
      </c>
      <c r="F343" s="4" t="inlineStr">
        <is>
          <t>Existing CNSW-SNW South flow path capability, peak demand and summer typical</t>
        </is>
      </c>
      <c r="G343" s="4" t="n">
        <v>2540</v>
      </c>
      <c r="H343" s="4" t="inlineStr">
        <is>
          <t>MW</t>
        </is>
      </c>
      <c r="I343" s="4" t="n"/>
      <c r="J343" s="4" t="n"/>
      <c r="K343" s="4" t="n"/>
      <c r="L343" s="4" t="inlineStr">
        <is>
          <t>modelled existing capability</t>
        </is>
      </c>
      <c r="M343" s="4" t="inlineStr">
        <is>
          <t>Existing Bannaby–Sydney West, Marulan–Dapto, Marulan–Avon and Kangaroo Valley–Dapto 330 kV lines</t>
        </is>
      </c>
      <c r="N343" s="4" t="inlineStr">
        <is>
          <t>Existing modelled capability, not project-added capacity</t>
        </is>
      </c>
      <c r="O343" s="4" t="inlineStr">
        <is>
          <t>HUM-AEMO-2026-ISP-A5</t>
        </is>
      </c>
      <c r="P343" s="4" t="inlineStr">
        <is>
          <t>42</t>
        </is>
      </c>
      <c r="Q343" s="4" t="inlineStr">
        <is>
          <t>flow path is 2,540 MW at peak demand and summer typical, and 2,720 MW at winter reference periods.</t>
        </is>
      </c>
      <c r="R343" s="4" t="inlineStr"/>
      <c r="S343" s="4" t="inlineStr"/>
    </row>
    <row r="344">
      <c r="A344" s="4" t="inlineStr">
        <is>
          <t>Sydney Ring South (Reinforcing Sydney, Newcastle and Wollongong Supply)</t>
        </is>
      </c>
      <c r="B344" s="4" t="inlineStr">
        <is>
          <t>SRS-PROJECT-SRS</t>
        </is>
      </c>
      <c r="C344" s="4" t="inlineStr">
        <is>
          <t>SRS-AO-2026-EXISTING-WINTER</t>
        </is>
      </c>
      <c r="D344" s="4" t="inlineStr">
        <is>
          <t>capacity</t>
        </is>
      </c>
      <c r="E344" s="4" t="inlineStr">
        <is>
          <t>2026-06</t>
        </is>
      </c>
      <c r="F344" s="4" t="inlineStr">
        <is>
          <t>Existing CNSW-SNW South flow path capability, winter reference periods</t>
        </is>
      </c>
      <c r="G344" s="4" t="n">
        <v>2720</v>
      </c>
      <c r="H344" s="4" t="inlineStr">
        <is>
          <t>MW</t>
        </is>
      </c>
      <c r="I344" s="4" t="n"/>
      <c r="J344" s="4" t="n"/>
      <c r="K344" s="4" t="n"/>
      <c r="L344" s="4" t="inlineStr">
        <is>
          <t>modelled existing capability</t>
        </is>
      </c>
      <c r="M344" s="4" t="inlineStr">
        <is>
          <t>Existing Bannaby–Sydney West, Marulan–Dapto, Marulan–Avon and Kangaroo Valley–Dapto 330 kV lines</t>
        </is>
      </c>
      <c r="N344" s="4" t="inlineStr">
        <is>
          <t>Existing modelled capability, not project-added capacity</t>
        </is>
      </c>
      <c r="O344" s="4" t="inlineStr">
        <is>
          <t>HUM-AEMO-2026-ISP-A5</t>
        </is>
      </c>
      <c r="P344" s="4" t="inlineStr">
        <is>
          <t>42</t>
        </is>
      </c>
      <c r="Q344" s="4" t="inlineStr">
        <is>
          <t>flow path is 2,540 MW at peak demand and summer typical, and 2,720 MW at winter reference periods.</t>
        </is>
      </c>
      <c r="R344" s="4" t="inlineStr"/>
      <c r="S344" s="4" t="inlineStr"/>
    </row>
    <row r="345">
      <c r="A345" s="4" t="inlineStr">
        <is>
          <t>Sydney Ring South (Reinforcing Sydney, Newcastle and Wollongong Supply)</t>
        </is>
      </c>
      <c r="B345" s="4" t="inlineStr">
        <is>
          <t>SRS-PROJECT-SRS</t>
        </is>
      </c>
      <c r="C345" s="4" t="inlineStr">
        <is>
          <t>SRS-AO-2026-REBUILD-KM</t>
        </is>
      </c>
      <c r="D345" s="4" t="inlineStr">
        <is>
          <t>trunk_km</t>
        </is>
      </c>
      <c r="E345" s="4" t="inlineStr">
        <is>
          <t>2026-06</t>
        </is>
      </c>
      <c r="F345" s="4" t="inlineStr">
        <is>
          <t>Rebuild of existing single-circuit 330 kV as double-circuit</t>
        </is>
      </c>
      <c r="G345" s="4" t="n">
        <v>7</v>
      </c>
      <c r="H345" s="4" t="inlineStr">
        <is>
          <t>km</t>
        </is>
      </c>
      <c r="I345" s="4" t="n"/>
      <c r="J345" s="4" t="n"/>
      <c r="K345" s="4" t="n"/>
      <c r="L345" s="4" t="inlineStr">
        <is>
          <t>scope item of the actionable option</t>
        </is>
      </c>
      <c r="M345" s="4" t="inlineStr">
        <is>
          <t>South Creek to Sydney West rebuild component only; not the new trunk route length</t>
        </is>
      </c>
      <c r="N345" s="4" t="inlineStr">
        <is>
          <t>Component length inside the option scope; must not be read as the project's trunk length</t>
        </is>
      </c>
      <c r="O345" s="4" t="inlineStr">
        <is>
          <t>HUM-AEMO-2026-ISP-A5</t>
        </is>
      </c>
      <c r="P345" s="4" t="inlineStr">
        <is>
          <t>44</t>
        </is>
      </c>
      <c r="Q345" s="4" t="inlineStr">
        <is>
          <t>Rebuild 7 km of existing single-circuit 330 kV between South Creek and Sydney West</t>
        </is>
      </c>
      <c r="R345" s="4" t="inlineStr"/>
      <c r="S345" s="4" t="inlineStr"/>
    </row>
    <row r="346">
      <c r="A346" s="4" t="inlineStr">
        <is>
          <t>Sydney Ring South (Reinforcing Sydney, Newcastle and Wollongong Supply)</t>
        </is>
      </c>
      <c r="B346" s="4" t="inlineStr">
        <is>
          <t>SRS-PROJECT-SRS</t>
        </is>
      </c>
      <c r="C346" s="4" t="inlineStr">
        <is>
          <t>SRS-AO-2026-RECONDUCTOR-KM</t>
        </is>
      </c>
      <c r="D346" s="4" t="inlineStr">
        <is>
          <t>trunk_km</t>
        </is>
      </c>
      <c r="E346" s="4" t="inlineStr">
        <is>
          <t>2026-06</t>
        </is>
      </c>
      <c r="F346" s="4" t="inlineStr">
        <is>
          <t>Reconductoring of existing double-circuit 330 kV lines 32 and 38</t>
        </is>
      </c>
      <c r="G346" s="4" t="n">
        <v>7</v>
      </c>
      <c r="H346" s="4" t="inlineStr">
        <is>
          <t>km</t>
        </is>
      </c>
      <c r="I346" s="4" t="n"/>
      <c r="J346" s="4" t="n"/>
      <c r="K346" s="4" t="n"/>
      <c r="L346" s="4" t="inlineStr">
        <is>
          <t>scope item of the actionable option</t>
        </is>
      </c>
      <c r="M346" s="4" t="inlineStr">
        <is>
          <t>South Creek to Sydney West reconductoring component only; approximate; not the new trunk route length</t>
        </is>
      </c>
      <c r="N346" s="4" t="inlineStr">
        <is>
          <t>Component length inside the option scope; not additive with the rebuild length or a trunk figure</t>
        </is>
      </c>
      <c r="O346" s="4" t="inlineStr">
        <is>
          <t>HUM-AEMO-2026-ISP-A5</t>
        </is>
      </c>
      <c r="P346" s="4" t="inlineStr">
        <is>
          <t>44</t>
        </is>
      </c>
      <c r="Q346" s="4" t="inlineStr">
        <is>
          <t>Re-conductor approx. 7 km of existing double-circuit 330 kV lines 32 and 38 with high</t>
        </is>
      </c>
      <c r="R346" s="4" t="inlineStr"/>
      <c r="S346" s="4" t="inlineStr">
        <is>
          <t>Source says 'approx. 7 km'.</t>
        </is>
      </c>
    </row>
    <row r="347">
      <c r="A347" s="4" t="inlineStr">
        <is>
          <t>Sydney Ring South (Reinforcing Sydney, Newcastle and Wollongong Supply)</t>
        </is>
      </c>
      <c r="B347" s="4" t="inlineStr">
        <is>
          <t>SRS-PROJECT-SRS</t>
        </is>
      </c>
      <c r="C347" s="4" t="inlineStr">
        <is>
          <t>SRS-AO-2026-CIRCUITS</t>
        </is>
      </c>
      <c r="D347" s="4" t="inlineStr">
        <is>
          <t>circuits</t>
        </is>
      </c>
      <c r="E347" s="4" t="inlineStr">
        <is>
          <t>2026-06</t>
        </is>
      </c>
      <c r="F347" s="4" t="inlineStr">
        <is>
          <t>Circuits on the new Bannaby–South Creek line</t>
        </is>
      </c>
      <c r="G347" s="4" t="n">
        <v>2</v>
      </c>
      <c r="H347" s="4" t="inlineStr">
        <is>
          <t>count</t>
        </is>
      </c>
      <c r="I347" s="4" t="n"/>
      <c r="J347" s="4" t="n"/>
      <c r="K347" s="4" t="n"/>
      <c r="L347" s="4" t="inlineStr">
        <is>
          <t>scope item of the actionable option</t>
        </is>
      </c>
      <c r="M347" s="4" t="inlineStr">
        <is>
          <t>New Bannaby–South Creek line only</t>
        </is>
      </c>
      <c r="N347" s="4" t="inlineStr">
        <is>
          <t>Matches the chart's per-line circuit count</t>
        </is>
      </c>
      <c r="O347" s="4" t="inlineStr">
        <is>
          <t>HUM-AEMO-2026-ISP-A5</t>
        </is>
      </c>
      <c r="P347" s="4" t="inlineStr">
        <is>
          <t>44</t>
        </is>
      </c>
      <c r="Q347" s="4" t="inlineStr">
        <is>
          <t>Double-circuit 330 kV transmission line built to a 500 kV design between Bannaby</t>
        </is>
      </c>
      <c r="R347" s="4" t="inlineStr">
        <is>
          <t>selected</t>
        </is>
      </c>
      <c r="S347" s="4" t="inlineStr"/>
    </row>
    <row r="348">
      <c r="A348" s="4" t="inlineStr">
        <is>
          <t>Sydney Ring South (Reinforcing Sydney, Newcastle and Wollongong Supply)</t>
        </is>
      </c>
      <c r="B348" s="4" t="inlineStr">
        <is>
          <t>SRS-PROJECT-SRS</t>
        </is>
      </c>
      <c r="C348" s="4" t="inlineStr">
        <is>
          <t>SRS-AO-2026-LINES</t>
        </is>
      </c>
      <c r="D348" s="4" t="inlineStr">
        <is>
          <t>lines</t>
        </is>
      </c>
      <c r="E348" s="4" t="inlineStr">
        <is>
          <t>2026-06</t>
        </is>
      </c>
      <c r="F348" s="4" t="inlineStr">
        <is>
          <t>Number of new trunk lines</t>
        </is>
      </c>
      <c r="G348" s="4" t="n">
        <v>1</v>
      </c>
      <c r="H348" s="4" t="inlineStr">
        <is>
          <t>count</t>
        </is>
      </c>
      <c r="I348" s="4" t="n"/>
      <c r="J348" s="4" t="n"/>
      <c r="K348" s="4" t="n"/>
      <c r="L348" s="4" t="inlineStr">
        <is>
          <t>scope item of the actionable option</t>
        </is>
      </c>
      <c r="M348" s="4" t="inlineStr">
        <is>
          <t>New Bannaby–South Creek line only; rebuild and reconductoring works are on existing lines</t>
        </is>
      </c>
      <c r="N348" s="4" t="inlineStr">
        <is>
          <t>A single double-circuit line is described</t>
        </is>
      </c>
      <c r="O348" s="4" t="inlineStr">
        <is>
          <t>HUM-AEMO-2026-ISP-A5</t>
        </is>
      </c>
      <c r="P348" s="4" t="inlineStr">
        <is>
          <t>44</t>
        </is>
      </c>
      <c r="Q348" s="4" t="inlineStr">
        <is>
          <t>Double-circuit 330 kV transmission line built to a 500 kV design between Bannaby</t>
        </is>
      </c>
      <c r="R348" s="4" t="inlineStr">
        <is>
          <t>selected</t>
        </is>
      </c>
      <c r="S348" s="4" t="inlineStr"/>
    </row>
    <row r="349">
      <c r="A349" s="4" t="inlineStr">
        <is>
          <t>Sydney Ring South (Reinforcing Sydney, Newcastle and Wollongong Supply)</t>
        </is>
      </c>
      <c r="B349" s="4" t="inlineStr">
        <is>
          <t>SRS-PROJECT-SRS</t>
        </is>
      </c>
      <c r="C349" s="4" t="inlineStr">
        <is>
          <t>SRS-AO-2026-VOLTAGE-BUILT</t>
        </is>
      </c>
      <c r="D349" s="4" t="inlineStr">
        <is>
          <t>voltage</t>
        </is>
      </c>
      <c r="E349" s="4" t="inlineStr">
        <is>
          <t>2026-06</t>
        </is>
      </c>
      <c r="F349" s="4" t="inlineStr">
        <is>
          <t>Operating voltage of the new line as described</t>
        </is>
      </c>
      <c r="G349" s="4" t="n">
        <v>330</v>
      </c>
      <c r="H349" s="4" t="inlineStr">
        <is>
          <t>kV</t>
        </is>
      </c>
      <c r="I349" s="4" t="n"/>
      <c r="J349" s="4" t="n"/>
      <c r="K349" s="4" t="n"/>
      <c r="L349" s="4" t="inlineStr">
        <is>
          <t>scope item of the actionable option</t>
        </is>
      </c>
      <c r="M349" s="4" t="inlineStr">
        <is>
          <t>New Bannaby–South Creek line as built</t>
        </is>
      </c>
      <c r="N349" s="4" t="inlineStr">
        <is>
          <t>Built voltage differs from design voltage; both are stated in one sentence</t>
        </is>
      </c>
      <c r="O349" s="4" t="inlineStr">
        <is>
          <t>HUM-AEMO-2026-ISP-A5</t>
        </is>
      </c>
      <c r="P349" s="4" t="inlineStr">
        <is>
          <t>44</t>
        </is>
      </c>
      <c r="Q349" s="4" t="inlineStr">
        <is>
          <t>Double-circuit 330 kV transmission line built to a 500 kV design between Bannaby</t>
        </is>
      </c>
      <c r="R349" s="4" t="inlineStr"/>
      <c r="S349" s="4" t="inlineStr"/>
    </row>
    <row r="350">
      <c r="A350" s="4" t="inlineStr">
        <is>
          <t>Sydney Ring South (Reinforcing Sydney, Newcastle and Wollongong Supply)</t>
        </is>
      </c>
      <c r="B350" s="4" t="inlineStr">
        <is>
          <t>SRS-PROJECT-SRS</t>
        </is>
      </c>
      <c r="C350" s="4" t="inlineStr">
        <is>
          <t>SRS-AO-2026-VOLTAGE-DESIGN</t>
        </is>
      </c>
      <c r="D350" s="4" t="inlineStr">
        <is>
          <t>voltage</t>
        </is>
      </c>
      <c r="E350" s="4" t="inlineStr">
        <is>
          <t>2026-06</t>
        </is>
      </c>
      <c r="F350" s="4" t="inlineStr">
        <is>
          <t>Design voltage of the new line</t>
        </is>
      </c>
      <c r="G350" s="4" t="n">
        <v>500</v>
      </c>
      <c r="H350" s="4" t="inlineStr">
        <is>
          <t>kV</t>
        </is>
      </c>
      <c r="I350" s="4" t="n"/>
      <c r="J350" s="4" t="n"/>
      <c r="K350" s="4" t="n"/>
      <c r="L350" s="4" t="inlineStr">
        <is>
          <t>scope item of the actionable option</t>
        </is>
      </c>
      <c r="M350" s="4" t="inlineStr">
        <is>
          <t>New Bannaby–South Creek line design standard</t>
        </is>
      </c>
      <c r="N350" s="4" t="inlineStr">
        <is>
          <t>Design voltage only; the line is described as a 330 kV line built to a 500 kV design</t>
        </is>
      </c>
      <c r="O350" s="4" t="inlineStr">
        <is>
          <t>HUM-AEMO-2026-ISP-A5</t>
        </is>
      </c>
      <c r="P350" s="4" t="inlineStr">
        <is>
          <t>44</t>
        </is>
      </c>
      <c r="Q350" s="4" t="inlineStr">
        <is>
          <t>Double-circuit 330 kV transmission line built to a 500 kV design between Bannaby</t>
        </is>
      </c>
      <c r="R350" s="4" t="inlineStr"/>
      <c r="S350" s="4" t="inlineStr">
        <is>
          <t>South Creek is separately upgraded to a 330/500 kV substation and 500 kV lines are re-terminated at Bannaby and South Creek.</t>
        </is>
      </c>
    </row>
    <row r="351">
      <c r="A351" s="4" t="inlineStr">
        <is>
          <t>Sydney Ring South (Reinforcing Sydney, Newcastle and Wollongong Supply)</t>
        </is>
      </c>
      <c r="B351" s="4" t="inlineStr">
        <is>
          <t>SRS-PROJECT-SRS</t>
        </is>
      </c>
      <c r="C351" s="4" t="inlineStr">
        <is>
          <t>SRS-AO-2026-TRANSFORMERS</t>
        </is>
      </c>
      <c r="D351" s="4" t="inlineStr">
        <is>
          <t>transformers_mva</t>
        </is>
      </c>
      <c r="E351" s="4" t="inlineStr">
        <is>
          <t>2026-06</t>
        </is>
      </c>
      <c r="F351" s="4" t="inlineStr">
        <is>
          <t>South Creek 500/330 kV transformer unit rating</t>
        </is>
      </c>
      <c r="G351" s="4" t="n">
        <v>1500</v>
      </c>
      <c r="H351" s="4" t="inlineStr">
        <is>
          <t>MVA</t>
        </is>
      </c>
      <c r="I351" s="4" t="n"/>
      <c r="J351" s="4" t="n"/>
      <c r="K351" s="4" t="n"/>
      <c r="L351" s="4" t="inlineStr">
        <is>
          <t>scope item of the actionable option</t>
        </is>
      </c>
      <c r="M351" s="4" t="inlineStr">
        <is>
          <t>Each of three 500/330 kV transformers at the upgraded South Creek substation</t>
        </is>
      </c>
      <c r="N351" s="4" t="inlineStr">
        <is>
          <t>Unit rating as stated; the source states three units and does not state an installed total</t>
        </is>
      </c>
      <c r="O351" s="4" t="inlineStr">
        <is>
          <t>HUM-AEMO-2026-ISP-A5</t>
        </is>
      </c>
      <c r="P351" s="4" t="inlineStr">
        <is>
          <t>44</t>
        </is>
      </c>
      <c r="Q351" s="4" t="inlineStr">
        <is>
          <t>(#5A1, #5A2) with three 1,500 MVA 500/330 kV transformers.</t>
        </is>
      </c>
      <c r="R351" s="4" t="inlineStr">
        <is>
          <t>selected</t>
        </is>
      </c>
      <c r="S351" s="4" t="inlineStr">
        <is>
          <t>Chart cell 4500 corresponds to three units of this rating.</t>
        </is>
      </c>
    </row>
    <row r="352">
      <c r="A352" s="4" t="inlineStr">
        <is>
          <t>Sydney Ring South (Reinforcing Sydney, Newcastle and Wollongong Supply)</t>
        </is>
      </c>
      <c r="B352" s="4" t="inlineStr">
        <is>
          <t>SRS-PROJECT-SRS</t>
        </is>
      </c>
      <c r="C352" s="4" t="inlineStr">
        <is>
          <t>SRS-AO-2024-TRANSFORMERS</t>
        </is>
      </c>
      <c r="D352" s="4" t="inlineStr">
        <is>
          <t>transformers_mva</t>
        </is>
      </c>
      <c r="E352" s="4" t="inlineStr">
        <is>
          <t>2024-06</t>
        </is>
      </c>
      <c r="F352" s="4" t="inlineStr">
        <is>
          <t>2024 ISP alternative Option 2 transformer unit rating</t>
        </is>
      </c>
      <c r="G352" s="4" t="n">
        <v>1500</v>
      </c>
      <c r="H352" s="4" t="inlineStr">
        <is>
          <t>MVA</t>
        </is>
      </c>
      <c r="I352" s="4" t="n"/>
      <c r="J352" s="4" t="n"/>
      <c r="K352" s="4" t="n"/>
      <c r="L352" s="4" t="inlineStr">
        <is>
          <t>alternative option (2024 ISP)</t>
        </is>
      </c>
      <c r="M352" s="4" t="inlineStr">
        <is>
          <t>Each of two 500/330/33 kV transformers in the 2024 alternative Option 2 substation near South Creek</t>
        </is>
      </c>
      <c r="N352" s="4" t="inlineStr">
        <is>
          <t>Superseded alternative option: two units, against three in the 2026 actionable scope</t>
        </is>
      </c>
      <c r="O352" s="4" t="inlineStr">
        <is>
          <t>HUM-AEMO-2024-ISP-A5</t>
        </is>
      </c>
      <c r="P352" s="4" t="inlineStr">
        <is>
          <t>26</t>
        </is>
      </c>
      <c r="Q352" s="4" t="inlineStr">
        <is>
          <t>Establish a new substation in the locality of South Creek with 2 x</t>
        </is>
      </c>
      <c r="R352" s="4" t="inlineStr"/>
      <c r="S352" s="4" t="inlineStr"/>
    </row>
    <row r="353">
      <c r="A353" s="4" t="inlineStr">
        <is>
          <t>Sydney Ring South (Reinforcing Sydney, Newcastle and Wollongong Supply)</t>
        </is>
      </c>
      <c r="B353" s="4" t="inlineStr">
        <is>
          <t>SRS-PROJECT-SRS</t>
        </is>
      </c>
      <c r="C353" s="4" t="inlineStr">
        <is>
          <t>SRS-AO-2026-REACTORS</t>
        </is>
      </c>
      <c r="D353" s="4" t="inlineStr">
        <is>
          <t>other</t>
        </is>
      </c>
      <c r="E353" s="4" t="inlineStr">
        <is>
          <t>2026-06</t>
        </is>
      </c>
      <c r="F353" s="4" t="inlineStr">
        <is>
          <t>Line shunt reactors on the Bannaby–South Creek 500 kV lines</t>
        </is>
      </c>
      <c r="G353" s="4" t="n">
        <v>120</v>
      </c>
      <c r="H353" s="4" t="inlineStr">
        <is>
          <t>MVAr</t>
        </is>
      </c>
      <c r="I353" s="4" t="n"/>
      <c r="J353" s="4" t="n"/>
      <c r="K353" s="4" t="n"/>
      <c r="L353" s="4" t="inlineStr">
        <is>
          <t>scope item of the actionable option</t>
        </is>
      </c>
      <c r="M353" s="4" t="inlineStr">
        <is>
          <t>Each of four line shunt reactors in the 500 kV option scope</t>
        </is>
      </c>
      <c r="N353" s="4" t="inlineStr">
        <is>
          <t>Reactive plant, not synchronous condensers</t>
        </is>
      </c>
      <c r="O353" s="4" t="inlineStr">
        <is>
          <t>HUM-AEMO-2026-ISP-A5</t>
        </is>
      </c>
      <c r="P353" s="4" t="inlineStr">
        <is>
          <t>44</t>
        </is>
      </c>
      <c r="Q353" s="4" t="inlineStr">
        <is>
          <t>4x 120 MVAr line shunt reactors on the 500kv lines between Bannaby and South Creek</t>
        </is>
      </c>
      <c r="R353" s="4" t="inlineStr"/>
      <c r="S353" s="4" t="inlineStr">
        <is>
          <t>Source states 4x 120 MVAr.</t>
        </is>
      </c>
    </row>
    <row r="354">
      <c r="A354" s="4" t="inlineStr">
        <is>
          <t>Sydney Ring South (Reinforcing Sydney, Newcastle and Wollongong Supply)</t>
        </is>
      </c>
      <c r="B354" s="4" t="inlineStr">
        <is>
          <t>SRS-PROJECT-SRS</t>
        </is>
      </c>
      <c r="C354" s="4" t="inlineStr">
        <is>
          <t>SRS-AO-2026-COMPLETION-ODP</t>
        </is>
      </c>
      <c r="D354" s="4" t="inlineStr">
        <is>
          <t>completion</t>
        </is>
      </c>
      <c r="E354" s="4" t="inlineStr">
        <is>
          <t>2026-06</t>
        </is>
      </c>
      <c r="F354" s="4" t="inlineStr">
        <is>
          <t>2026 ISP ODP delivery of Stage 1 and Stage 2</t>
        </is>
      </c>
      <c r="G354" s="4" t="inlineStr">
        <is>
          <t>2033-34</t>
        </is>
      </c>
      <c r="H354" s="4" t="inlineStr">
        <is>
          <t>date</t>
        </is>
      </c>
      <c r="I354" s="4" t="n"/>
      <c r="J354" s="4" t="n"/>
      <c r="K354" s="4" t="n"/>
      <c r="L354" s="4" t="inlineStr">
        <is>
          <t>planner ODP timing</t>
        </is>
      </c>
      <c r="M354" s="4" t="inlineStr">
        <is>
          <t>Both Stage 1 and Stage 2 of CNSW-SNW Option 3 as sequenced in the 2026 ISP optimal development path</t>
        </is>
      </c>
      <c r="N354" s="4" t="inlineStr">
        <is>
          <t>Financial year in the ODP; the chart's 2034 is a calendar proxy the author chose</t>
        </is>
      </c>
      <c r="O354" s="4" t="inlineStr">
        <is>
          <t>HUM-AEMO-2026-ISP-A5</t>
        </is>
      </c>
      <c r="P354" s="4" t="inlineStr">
        <is>
          <t>44</t>
        </is>
      </c>
      <c r="Q354" s="4" t="inlineStr">
        <is>
          <t>The 2026 ISP’s ODP considers both Stage 1 and Stage 2 of Option 3 delivered in 2033-34</t>
        </is>
      </c>
      <c r="R354" s="4" t="inlineStr">
        <is>
          <t>selected</t>
        </is>
      </c>
      <c r="S354" s="4" t="inlineStr">
        <is>
          <t>Same footnote records that Transgrid's PADR instead places the South Creek 500/330 kV substation in 2030-31.</t>
        </is>
      </c>
    </row>
    <row r="355">
      <c r="A355" s="4" t="inlineStr">
        <is>
          <t>Sydney Ring South (Reinforcing Sydney, Newcastle and Wollongong Supply)</t>
        </is>
      </c>
      <c r="B355" s="4" t="inlineStr">
        <is>
          <t>SRS-PROJECT-SRS</t>
        </is>
      </c>
      <c r="C355" s="4" t="inlineStr">
        <is>
          <t>SRS-AO-2026-TIMING-LINE</t>
        </is>
      </c>
      <c r="D355" s="4" t="inlineStr">
        <is>
          <t>completion</t>
        </is>
      </c>
      <c r="E355" s="4" t="inlineStr">
        <is>
          <t>2026-06</t>
        </is>
      </c>
      <c r="F355" s="4" t="inlineStr">
        <is>
          <t>Proponent timing for the 500 kV transmission option</t>
        </is>
      </c>
      <c r="G355" s="4" t="inlineStr">
        <is>
          <t>July 2033</t>
        </is>
      </c>
      <c r="H355" s="4" t="inlineStr">
        <is>
          <t>date</t>
        </is>
      </c>
      <c r="I355" s="4" t="n"/>
      <c r="J355" s="4" t="n"/>
      <c r="K355" s="4" t="n"/>
      <c r="L355" s="4" t="inlineStr">
        <is>
          <t>proponent-advised timing</t>
        </is>
      </c>
      <c r="M355" s="4" t="inlineStr">
        <is>
          <t>Sydney Ring South 500 kV transmission (CNSW-SNW Option 3)</t>
        </is>
      </c>
      <c r="N355" s="4" t="inlineStr">
        <is>
          <t>Proponent-advised earliest timing, not an ODP or approval date</t>
        </is>
      </c>
      <c r="O355" s="4" t="inlineStr">
        <is>
          <t>HUM-AEMO-2026-ISP-A5</t>
        </is>
      </c>
      <c r="P355" s="4" t="inlineStr">
        <is>
          <t>44</t>
        </is>
      </c>
      <c r="Q355" s="4" t="inlineStr">
        <is>
          <t>July 2033</t>
        </is>
      </c>
      <c r="R355" s="4" t="inlineStr"/>
      <c r="S355" s="4" t="inlineStr"/>
    </row>
    <row r="356">
      <c r="A356" s="4" t="inlineStr">
        <is>
          <t>Sydney Ring South (Reinforcing Sydney, Newcastle and Wollongong Supply)</t>
        </is>
      </c>
      <c r="B356" s="4" t="inlineStr">
        <is>
          <t>SRS-PROJECT-SRS</t>
        </is>
      </c>
      <c r="C356" s="4" t="inlineStr">
        <is>
          <t>SRS-AO-2026-TIMING-PFC</t>
        </is>
      </c>
      <c r="D356" s="4" t="inlineStr">
        <is>
          <t>completion</t>
        </is>
      </c>
      <c r="E356" s="4" t="inlineStr">
        <is>
          <t>2026-06</t>
        </is>
      </c>
      <c r="F356" s="4" t="inlineStr">
        <is>
          <t>Proponent timing for the power flow control option</t>
        </is>
      </c>
      <c r="G356" s="4" t="inlineStr">
        <is>
          <t>July 2030</t>
        </is>
      </c>
      <c r="H356" s="4" t="inlineStr">
        <is>
          <t>date</t>
        </is>
      </c>
      <c r="I356" s="4" t="n"/>
      <c r="J356" s="4" t="n"/>
      <c r="K356" s="4" t="n"/>
      <c r="L356" s="4" t="inlineStr">
        <is>
          <t>proponent-advised timing</t>
        </is>
      </c>
      <c r="M356" s="4" t="inlineStr">
        <is>
          <t>Power flow control augmentation (CNSW-SNW Option 2d)</t>
        </is>
      </c>
      <c r="N356" s="4" t="inlineStr">
        <is>
          <t>Proponent-advised timing for the other option in the same project</t>
        </is>
      </c>
      <c r="O356" s="4" t="inlineStr">
        <is>
          <t>HUM-AEMO-2026-ISP-A5</t>
        </is>
      </c>
      <c r="P356" s="4" t="inlineStr">
        <is>
          <t>43</t>
        </is>
      </c>
      <c r="Q356" s="4" t="inlineStr">
        <is>
          <t>July 2030 (power flow control)</t>
        </is>
      </c>
      <c r="R356" s="4" t="inlineStr"/>
      <c r="S356" s="4" t="inlineStr"/>
    </row>
    <row r="357">
      <c r="A357" s="4" t="inlineStr">
        <is>
          <t>Sydney Ring South (Reinforcing Sydney, Newcastle and Wollongong Supply)</t>
        </is>
      </c>
      <c r="B357" s="4" t="inlineStr">
        <is>
          <t>SRS-PROJECT-SRS</t>
        </is>
      </c>
      <c r="C357" s="4" t="inlineStr">
        <is>
          <t>SRS-AO-2023-SOUTHERN-RING-LENGTH</t>
        </is>
      </c>
      <c r="D357" s="4" t="inlineStr">
        <is>
          <t>trunk_km</t>
        </is>
      </c>
      <c r="E357" s="4" t="inlineStr">
        <is>
          <t>2023-06</t>
        </is>
      </c>
      <c r="F357" s="4" t="inlineStr">
        <is>
          <t>Transgrid 2023 Southern Ring preparatory line length, Bannaby to South Creek</t>
        </is>
      </c>
      <c r="G357" s="4" t="n">
        <v>114</v>
      </c>
      <c r="H357" s="4" t="inlineStr">
        <is>
          <t>km</t>
        </is>
      </c>
      <c r="I357" s="4" t="n"/>
      <c r="J357" s="4" t="n"/>
      <c r="K357" s="4" t="n"/>
      <c r="L357" s="4" t="inlineStr">
        <is>
          <t>preparatory activities estimate, superseded by the 2026 PADR</t>
        </is>
      </c>
      <c r="M357" s="4" t="inlineStr">
        <is>
          <t>New 500 kV double-circuit overhead line from Bannaby to South Creek, alongside a section of line 39 (Bannaby to Greendale area)</t>
        </is>
      </c>
      <c r="N357" s="4" t="inlineStr">
        <is>
          <t>2023 preparatory-activities estimate; the 2026 PADR instead describes the line as extending to around 100 km</t>
        </is>
      </c>
      <c r="O357" s="4" t="inlineStr">
        <is>
          <t>SRS-TG-2023-SOUTHERN-RING</t>
        </is>
      </c>
      <c r="P357" s="4" t="inlineStr">
        <is>
          <t>8</t>
        </is>
      </c>
      <c r="Q357" s="4" t="inlineStr">
        <is>
          <t>Construct a 500 kV double circuit overhead line from Bannaby to South Creek with approximate length of 114 km</t>
        </is>
      </c>
      <c r="R357" s="4" t="inlineStr">
        <is>
          <t>selected</t>
        </is>
      </c>
      <c r="S357" s="4" t="inlineStr">
        <is>
          <t>Same page states a P50 total project cost of $1.55bn (un-escalated $2022/23) with an estimate accuracy of -30% to +40% (a whole-of-scope cost estimate, not a length uncertainty), for a wider boundary than PADR Option 6 (includes substation works and rebuild of existing line 39); not comparable with the PADR figures.</t>
        </is>
      </c>
    </row>
    <row r="358">
      <c r="A358" s="4" t="inlineStr">
        <is>
          <t>Sydney Ring South (Reinforcing Sydney, Newcastle and Wollongong Supply)</t>
        </is>
      </c>
      <c r="B358" s="4" t="inlineStr">
        <is>
          <t>SRS-PROJECT-SRS</t>
        </is>
      </c>
      <c r="C358" s="4" t="inlineStr">
        <is>
          <t>SRS-AO-2026-PADR-LINE-LENGTH</t>
        </is>
      </c>
      <c r="D358" s="4" t="inlineStr">
        <is>
          <t>trunk_km</t>
        </is>
      </c>
      <c r="E358" s="4" t="inlineStr">
        <is>
          <t>2026-05</t>
        </is>
      </c>
      <c r="F358" s="4" t="inlineStr">
        <is>
          <t>PADR indicative Bannaby to South Western Sydney 500 kV line length</t>
        </is>
      </c>
      <c r="G358" s="4" t="n">
        <v>100</v>
      </c>
      <c r="H358" s="4" t="inlineStr">
        <is>
          <t>km</t>
        </is>
      </c>
      <c r="I358" s="4" t="n"/>
      <c r="J358" s="4" t="n"/>
      <c r="K358" s="4" t="n"/>
      <c r="L358" s="4" t="inlineStr">
        <is>
          <t>PADR indicative estimate; corridor and route not yet identified</t>
        </is>
      </c>
      <c r="M358" s="4" t="inlineStr">
        <is>
          <t>New 500 kV transmission line, Bannaby to South Western Sydney (Options 3, 4 and 6)</t>
        </is>
      </c>
      <c r="N358" s="4" t="inlineStr">
        <is>
          <t>Approximate, pre-route PADR estimate; supersedes the 2023 preparatory activities' 114 km</t>
        </is>
      </c>
      <c r="O358" s="4" t="inlineStr">
        <is>
          <t>SRS-TG-2026-PADR</t>
        </is>
      </c>
      <c r="P358" s="4" t="inlineStr">
        <is>
          <t>43</t>
        </is>
      </c>
      <c r="Q358" s="4" t="inlineStr">
        <is>
          <t>could extend to around 100 km</t>
        </is>
      </c>
      <c r="R358" s="4" t="inlineStr"/>
      <c r="S358" s="4" t="inlineStr">
        <is>
          <t>PADR pages 6 and 41 separately describe the same line as extending 'more than 100 km'; no corridor or route has been selected.</t>
        </is>
      </c>
    </row>
    <row r="359">
      <c r="A359" s="4" t="inlineStr">
        <is>
          <t>Sydney Ring South (Reinforcing Sydney, Newcastle and Wollongong Supply)</t>
        </is>
      </c>
      <c r="B359" s="4" t="inlineStr">
        <is>
          <t>SRS-PROJECT-SRS</t>
        </is>
      </c>
      <c r="C359" s="4" t="inlineStr">
        <is>
          <t>SRS-AO-2026-PADR-CLASS5-ACCURACY</t>
        </is>
      </c>
      <c r="D359" s="4" t="inlineStr">
        <is>
          <t>other</t>
        </is>
      </c>
      <c r="E359" s="4" t="inlineStr">
        <is>
          <t>2026-05</t>
        </is>
      </c>
      <c r="F359" s="4" t="inlineStr">
        <is>
          <t>PADR Class 5 capital cost estimate accuracy range</t>
        </is>
      </c>
      <c r="G359" s="4" t="inlineStr">
        <is>
          <t>+100 per cent/-50 per cent</t>
        </is>
      </c>
      <c r="H359" s="4" t="inlineStr">
        <is>
          <t>Class 5 accuracy range</t>
        </is>
      </c>
      <c r="I359" s="4" t="n"/>
      <c r="J359" s="4" t="inlineStr">
        <is>
          <t>Class 5</t>
        </is>
      </c>
      <c r="K359" s="4" t="inlineStr">
        <is>
          <t>+100 per cent/-50 per cent</t>
        </is>
      </c>
      <c r="L359" s="4" t="inlineStr">
        <is>
          <t>PADR-stated estimate class accuracy</t>
        </is>
      </c>
      <c r="M359" s="4" t="inlineStr">
        <is>
          <t>All six PADR options' capital cost estimates, including Option 6</t>
        </is>
      </c>
      <c r="N359" s="4" t="inlineStr">
        <is>
          <t>Applies uniformly to every PADR option cost figure</t>
        </is>
      </c>
      <c r="O359" s="4" t="inlineStr">
        <is>
          <t>SRS-TG-2026-PADR</t>
        </is>
      </c>
      <c r="P359" s="4" t="inlineStr">
        <is>
          <t>32</t>
        </is>
      </c>
      <c r="Q359" s="4" t="inlineStr">
        <is>
          <t>The Class 5 estimates are of an expected accuracy of +100 per cent/-50 per cent.</t>
        </is>
      </c>
      <c r="R359" s="4" t="inlineStr"/>
      <c r="S359" s="4" t="inlineStr"/>
    </row>
    <row r="360">
      <c r="A360" s="4" t="inlineStr">
        <is>
          <t>Sydney Ring South (Reinforcing Sydney, Newcastle and Wollongong Supply)</t>
        </is>
      </c>
      <c r="B360" s="4" t="inlineStr">
        <is>
          <t>SRS-PROJECT-SRS</t>
        </is>
      </c>
      <c r="C360" s="4" t="inlineStr">
        <is>
          <t>SRS-AO-2026-PADR-OPT6-STAGE1-COST</t>
        </is>
      </c>
      <c r="D360" s="4" t="inlineStr">
        <is>
          <t>cost</t>
        </is>
      </c>
      <c r="E360" s="4" t="inlineStr">
        <is>
          <t>2026-05</t>
        </is>
      </c>
      <c r="F360" s="4" t="inlineStr">
        <is>
          <t>Transgrid PADR Option 6 Stage 1 capital cost estimate</t>
        </is>
      </c>
      <c r="G360" s="4" t="n">
        <v>1135</v>
      </c>
      <c r="H360" s="4" t="inlineStr">
        <is>
          <t>AUD million</t>
        </is>
      </c>
      <c r="I360" s="4" t="inlineStr">
        <is>
          <t>Nominal</t>
        </is>
      </c>
      <c r="J360" s="4" t="inlineStr">
        <is>
          <t>P50 Class 5</t>
        </is>
      </c>
      <c r="K360" s="4" t="inlineStr">
        <is>
          <t>+100 per cent/-50 per cent</t>
        </is>
      </c>
      <c r="L360" s="4" t="inlineStr">
        <is>
          <t>proponent PADR estimate</t>
        </is>
      </c>
      <c r="M360" s="4" t="inlineStr">
        <is>
          <t>PADR Option 6 Stage 1: power flow control (series reactors in the existing 330 kV network) plus a new South Creek 500/330 kV substation</t>
        </is>
      </c>
      <c r="N360" s="4" t="inlineStr">
        <is>
          <t>Directly cited from the PADR; not comparable with the $2025 AEMO-modelled amounts</t>
        </is>
      </c>
      <c r="O360" s="4" t="inlineStr">
        <is>
          <t>SRS-TG-2026-PADR</t>
        </is>
      </c>
      <c r="P360" s="4" t="inlineStr">
        <is>
          <t>38</t>
        </is>
      </c>
      <c r="Q360" s="4" t="inlineStr">
        <is>
          <t>The estimated capital cost of Stage 1 is approximately $1,135 million (nominal), with Stage 2 adding a further $2,384</t>
        </is>
      </c>
      <c r="R360" s="4" t="inlineStr"/>
      <c r="S360" s="4" t="inlineStr">
        <is>
          <t>Also tabulated in Table E.1 (p.8) and Table 3.1 (p.33) of the PADR. Same sentence gives Stage 2 and the option total; see SRS-AO-2026-PADR-OPT6-STAGE2-COST and SRS-AO-2026-PADR-OPT6-TOTAL-COST.</t>
        </is>
      </c>
    </row>
    <row r="361">
      <c r="A361" s="4" t="inlineStr">
        <is>
          <t>Sydney Ring South (Reinforcing Sydney, Newcastle and Wollongong Supply)</t>
        </is>
      </c>
      <c r="B361" s="4" t="inlineStr">
        <is>
          <t>SRS-PROJECT-SRS</t>
        </is>
      </c>
      <c r="C361" s="4" t="inlineStr">
        <is>
          <t>SRS-AO-2026-PADR-OPT6-STAGE2-COST</t>
        </is>
      </c>
      <c r="D361" s="4" t="inlineStr">
        <is>
          <t>cost</t>
        </is>
      </c>
      <c r="E361" s="4" t="inlineStr">
        <is>
          <t>2026-05</t>
        </is>
      </c>
      <c r="F361" s="4" t="inlineStr">
        <is>
          <t>Transgrid PADR Option 6 Stage 2 capital cost estimate</t>
        </is>
      </c>
      <c r="G361" s="4" t="n">
        <v>2384</v>
      </c>
      <c r="H361" s="4" t="inlineStr">
        <is>
          <t>AUD million</t>
        </is>
      </c>
      <c r="I361" s="4" t="inlineStr">
        <is>
          <t>Nominal</t>
        </is>
      </c>
      <c r="J361" s="4" t="inlineStr">
        <is>
          <t>P50 Class 5</t>
        </is>
      </c>
      <c r="K361" s="4" t="inlineStr">
        <is>
          <t>+100 per cent/-50 per cent</t>
        </is>
      </c>
      <c r="L361" s="4" t="inlineStr">
        <is>
          <t>proponent PADR estimate</t>
        </is>
      </c>
      <c r="M361" s="4" t="inlineStr">
        <is>
          <t>PADR Option 6 Stage 2: 500 kV double-circuit transmission line from Bannaby to South Western Sydney</t>
        </is>
      </c>
      <c r="N361" s="4" t="inlineStr">
        <is>
          <t>Directly cited from the PADR; not comparable with the $2025 AEMO-modelled amounts</t>
        </is>
      </c>
      <c r="O361" s="4" t="inlineStr">
        <is>
          <t>SRS-TG-2026-PADR</t>
        </is>
      </c>
      <c r="P361" s="4" t="inlineStr">
        <is>
          <t>38</t>
        </is>
      </c>
      <c r="Q361" s="4" t="inlineStr">
        <is>
          <t>Stage 2 adding a further $2,384 million (nominal) based on a P50 Class 5 estimate ( +100 per cent/-50 per cent).</t>
        </is>
      </c>
      <c r="R361" s="4" t="inlineStr"/>
      <c r="S361" s="4" t="inlineStr">
        <is>
          <t>Also tabulated in Table E.1 (p.8) and Table 3.1 (p.33) of the PADR.</t>
        </is>
      </c>
    </row>
    <row r="362">
      <c r="A362" s="4" t="inlineStr">
        <is>
          <t>Sydney Ring South (Reinforcing Sydney, Newcastle and Wollongong Supply)</t>
        </is>
      </c>
      <c r="B362" s="4" t="inlineStr">
        <is>
          <t>SRS-PROJECT-SRS</t>
        </is>
      </c>
      <c r="C362" s="4" t="inlineStr">
        <is>
          <t>SRS-AO-2026-PADR-OPT6-TOTAL-COST</t>
        </is>
      </c>
      <c r="D362" s="4" t="inlineStr">
        <is>
          <t>cost</t>
        </is>
      </c>
      <c r="E362" s="4" t="inlineStr">
        <is>
          <t>2026-05</t>
        </is>
      </c>
      <c r="F362" s="4" t="inlineStr">
        <is>
          <t>Transgrid PADR Option 6 total capital cost estimate</t>
        </is>
      </c>
      <c r="G362" s="4" t="n">
        <v>3519</v>
      </c>
      <c r="H362" s="4" t="inlineStr">
        <is>
          <t>AUD million</t>
        </is>
      </c>
      <c r="I362" s="4" t="inlineStr">
        <is>
          <t>Nominal</t>
        </is>
      </c>
      <c r="J362" s="4" t="inlineStr">
        <is>
          <t>P50 Class 5</t>
        </is>
      </c>
      <c r="K362" s="4" t="inlineStr">
        <is>
          <t>+100 per cent/-50 per cent</t>
        </is>
      </c>
      <c r="L362" s="4" t="inlineStr">
        <is>
          <t>proponent PADR estimate</t>
        </is>
      </c>
      <c r="M362" s="4" t="inlineStr">
        <is>
          <t>PADR Option 6: both stages combined</t>
        </is>
      </c>
      <c r="N362" s="4" t="inlineStr">
        <is>
          <t>Directly cited from the PADR; matches AEMO's secondhand quotation of the same figure (SRS-AO-2026-PADR-OPT6-NOMINAL); not comparable with the $2025 AEMO-modelled amounts</t>
        </is>
      </c>
      <c r="O362" s="4" t="inlineStr">
        <is>
          <t>SRS-TG-2026-PADR</t>
        </is>
      </c>
      <c r="P362" s="4" t="inlineStr">
        <is>
          <t>38</t>
        </is>
      </c>
      <c r="Q362" s="4" t="inlineStr">
        <is>
          <t>The total estimated capital cost of the option is $3,519 million (nominal).</t>
        </is>
      </c>
      <c r="R362" s="4" t="inlineStr">
        <is>
          <t>selected</t>
        </is>
      </c>
      <c r="S362" s="4" t="inlineStr">
        <is>
          <t>This is Transgrid's own PADR statement of the figure AEMO quotes secondhand as SRS-AO-2026-PADR-OPT6-NOMINAL; both give $3,519 million. Also tabulated in Table E.1 (p.8) and Table 3.1 (p.33).</t>
        </is>
      </c>
    </row>
    <row r="363">
      <c r="A363" s="4" t="inlineStr">
        <is>
          <t>Sydney Ring South (Reinforcing Sydney, Newcastle and Wollongong Supply)</t>
        </is>
      </c>
      <c r="B363" s="4" t="inlineStr">
        <is>
          <t>SRS-PROJECT-SRS</t>
        </is>
      </c>
      <c r="C363" s="4" t="inlineStr">
        <is>
          <t>SRS-AO-2026-PADR-OPT6-CAPACITY</t>
        </is>
      </c>
      <c r="D363" s="4" t="inlineStr">
        <is>
          <t>capacity</t>
        </is>
      </c>
      <c r="E363" s="4" t="inlineStr">
        <is>
          <t>2026-05</t>
        </is>
      </c>
      <c r="F363" s="4" t="inlineStr">
        <is>
          <t>Transgrid PADR Option 6 added transfer capacity, both stages complete</t>
        </is>
      </c>
      <c r="G363" s="4" t="n">
        <v>3600</v>
      </c>
      <c r="H363" s="4" t="inlineStr">
        <is>
          <t>MW</t>
        </is>
      </c>
      <c r="I363" s="4" t="n"/>
      <c r="J363" s="4" t="n"/>
      <c r="K363" s="4" t="n"/>
      <c r="L363" s="4" t="inlineStr">
        <is>
          <t>proponent PADR estimate</t>
        </is>
      </c>
      <c r="M363" s="4" t="inlineStr">
        <is>
          <t>PADR Option 6: both stages combined, on completion</t>
        </is>
      </c>
      <c r="N363" s="4" t="inlineStr">
        <is>
          <t>Matches AEMO's 3,600 MW forward capacity figure for the 500 kV option alone (SRS-AO-2026-LINE-CAPACITY-FWD), but stated here for the combined Option 6 boundary</t>
        </is>
      </c>
      <c r="O363" s="4" t="inlineStr">
        <is>
          <t>SRS-TG-2026-PADR</t>
        </is>
      </c>
      <c r="P363" s="4" t="inlineStr">
        <is>
          <t>38</t>
        </is>
      </c>
      <c r="Q363" s="4" t="inlineStr">
        <is>
          <t>Option 6 will add 3.6 GW of transfer capacity to the transmission network supplying the Sydney, Newcastle, and Wollongong region from the south.</t>
        </is>
      </c>
      <c r="R363" s="4" t="inlineStr">
        <is>
          <t>selected</t>
        </is>
      </c>
      <c r="S363" s="4" t="inlineStr"/>
    </row>
    <row r="364">
      <c r="A364" s="4" t="inlineStr">
        <is>
          <t>Sydney Ring South (Reinforcing Sydney, Newcastle and Wollongong Supply)</t>
        </is>
      </c>
      <c r="B364" s="4" t="inlineStr">
        <is>
          <t>SRS-PROJECT-SRS</t>
        </is>
      </c>
      <c r="C364" s="4" t="inlineStr">
        <is>
          <t>SRS-AO-2026-PADR-OPT6-TIMING-STAGE1</t>
        </is>
      </c>
      <c r="D364" s="4" t="inlineStr">
        <is>
          <t>completion</t>
        </is>
      </c>
      <c r="E364" s="4" t="inlineStr">
        <is>
          <t>2026-05</t>
        </is>
      </c>
      <c r="F364" s="4" t="inlineStr">
        <is>
          <t>PADR Option 6 Stage 1 earliest in-service timing</t>
        </is>
      </c>
      <c r="G364" s="4" t="inlineStr">
        <is>
          <t>2030/31</t>
        </is>
      </c>
      <c r="H364" s="4" t="inlineStr">
        <is>
          <t>date</t>
        </is>
      </c>
      <c r="I364" s="4" t="n"/>
      <c r="J364" s="4" t="n"/>
      <c r="K364" s="4" t="n"/>
      <c r="L364" s="4" t="inlineStr">
        <is>
          <t>PADR-modelled timing</t>
        </is>
      </c>
      <c r="M364" s="4" t="inlineStr">
        <is>
          <t>PADR Option 6 Stage 1: South Creek substation and power flow control (series reactors)</t>
        </is>
      </c>
      <c r="N364" s="4" t="inlineStr">
        <is>
          <t>Matches the ODP timing for Stage 1 works</t>
        </is>
      </c>
      <c r="O364" s="4" t="inlineStr">
        <is>
          <t>SRS-TG-2026-PADR</t>
        </is>
      </c>
      <c r="P364" s="4" t="inlineStr">
        <is>
          <t>38</t>
        </is>
      </c>
      <c r="Q364" s="4" t="inlineStr">
        <is>
          <t>The earliest in-service timing modelled for Option 6 is 2030/31 for the South Creek substation and power flow control scope (series reactors), and 2033/34 for the 500 kV transmission line, which considers early works commencing in 2026/27.</t>
        </is>
      </c>
      <c r="R364" s="4" t="inlineStr"/>
      <c r="S364" s="4" t="inlineStr"/>
    </row>
    <row r="365">
      <c r="A365" s="4" t="inlineStr">
        <is>
          <t>Sydney Ring South (Reinforcing Sydney, Newcastle and Wollongong Supply)</t>
        </is>
      </c>
      <c r="B365" s="4" t="inlineStr">
        <is>
          <t>SRS-PROJECT-SRS</t>
        </is>
      </c>
      <c r="C365" s="4" t="inlineStr">
        <is>
          <t>SRS-AO-2026-PADR-OPT6-TIMING-STAGE2</t>
        </is>
      </c>
      <c r="D365" s="4" t="inlineStr">
        <is>
          <t>completion</t>
        </is>
      </c>
      <c r="E365" s="4" t="inlineStr">
        <is>
          <t>2026-05</t>
        </is>
      </c>
      <c r="F365" s="4" t="inlineStr">
        <is>
          <t>PADR Option 6 Stage 2 earliest in-service timing</t>
        </is>
      </c>
      <c r="G365" s="4" t="inlineStr">
        <is>
          <t>2033/34</t>
        </is>
      </c>
      <c r="H365" s="4" t="inlineStr">
        <is>
          <t>date</t>
        </is>
      </c>
      <c r="I365" s="4" t="n"/>
      <c r="J365" s="4" t="n"/>
      <c r="K365" s="4" t="n"/>
      <c r="L365" s="4" t="inlineStr">
        <is>
          <t>PADR-modelled timing</t>
        </is>
      </c>
      <c r="M365" s="4" t="inlineStr">
        <is>
          <t>PADR Option 6 Stage 2: 500 kV transmission line, Bannaby to South Western Sydney</t>
        </is>
      </c>
      <c r="N365" s="4" t="inlineStr">
        <is>
          <t>Matches the archived 2026 ISP ODP's 2033-34 delivery of both stages</t>
        </is>
      </c>
      <c r="O365" s="4" t="inlineStr">
        <is>
          <t>SRS-TG-2026-PADR</t>
        </is>
      </c>
      <c r="P365" s="4" t="inlineStr">
        <is>
          <t>38</t>
        </is>
      </c>
      <c r="Q365" s="4" t="inlineStr">
        <is>
          <t>The earliest in-service timing modelled for Option 6 is 2030/31 for the South Creek substation and power flow control scope (series reactors), and 2033/34 for the 500 kV transmission line, which considers early works commencing in 2026/27.</t>
        </is>
      </c>
      <c r="R365" s="4" t="inlineStr"/>
      <c r="S365" s="4" t="inlineStr"/>
    </row>
    <row r="366">
      <c r="A366" s="4" t="inlineStr">
        <is>
          <t>Sydney Ring South (Reinforcing Sydney, Newcastle and Wollongong Supply)</t>
        </is>
      </c>
      <c r="B366" s="4" t="inlineStr">
        <is>
          <t>SRS-PROJECT-SRS</t>
        </is>
      </c>
      <c r="C366" s="4" t="inlineStr">
        <is>
          <t>SRS-AO-2026-PADR-OPT2-COST</t>
        </is>
      </c>
      <c r="D366" s="4" t="inlineStr">
        <is>
          <t>cost</t>
        </is>
      </c>
      <c r="E366" s="4" t="inlineStr">
        <is>
          <t>2026-05</t>
        </is>
      </c>
      <c r="F366" s="4" t="inlineStr">
        <is>
          <t>Transgrid PADR Option 2 capital cost estimate</t>
        </is>
      </c>
      <c r="G366" s="4" t="n">
        <v>644</v>
      </c>
      <c r="H366" s="4" t="inlineStr">
        <is>
          <t>AUD million</t>
        </is>
      </c>
      <c r="I366" s="4" t="inlineStr">
        <is>
          <t>Nominal</t>
        </is>
      </c>
      <c r="J366" s="4" t="inlineStr">
        <is>
          <t>P50 Class 5</t>
        </is>
      </c>
      <c r="K366" s="4" t="inlineStr">
        <is>
          <t>+100 per cent/-50 per cent</t>
        </is>
      </c>
      <c r="L366" s="4" t="inlineStr">
        <is>
          <t>proponent PADR estimate</t>
        </is>
      </c>
      <c r="M366" s="4" t="inlineStr">
        <is>
          <t>PADR Option 2: new South Creek 500/330 kV substation only</t>
        </is>
      </c>
      <c r="N366" s="4" t="inlineStr">
        <is>
          <t>Incremental augmentation option; not a new-transmission-line option</t>
        </is>
      </c>
      <c r="O366" s="4" t="inlineStr">
        <is>
          <t>SRS-TG-2026-PADR</t>
        </is>
      </c>
      <c r="P366" s="4" t="inlineStr">
        <is>
          <t>35</t>
        </is>
      </c>
      <c r="Q366" s="4" t="inlineStr">
        <is>
          <t>The estimated capital cost of this option is approximately $644 million (nominal) based on a P50 Class 5 estimate ( +100 per cent/-50 per cent).</t>
        </is>
      </c>
      <c r="R366" s="4" t="inlineStr"/>
      <c r="S366" s="4" t="inlineStr">
        <is>
          <t>Also tabulated in Table E.1 (p.8) and Table 3.1 (p.33).</t>
        </is>
      </c>
    </row>
    <row r="367">
      <c r="A367" s="4" t="inlineStr">
        <is>
          <t>Sydney Ring South (Reinforcing Sydney, Newcastle and Wollongong Supply)</t>
        </is>
      </c>
      <c r="B367" s="4" t="inlineStr">
        <is>
          <t>SRS-PROJECT-SRS</t>
        </is>
      </c>
      <c r="C367" s="4" t="inlineStr">
        <is>
          <t>SRS-AO-2026-PADR-OPT2D-COST</t>
        </is>
      </c>
      <c r="D367" s="4" t="inlineStr">
        <is>
          <t>cost</t>
        </is>
      </c>
      <c r="E367" s="4" t="inlineStr">
        <is>
          <t>2026-05</t>
        </is>
      </c>
      <c r="F367" s="4" t="inlineStr">
        <is>
          <t>Transgrid PADR Option 2d capital cost estimate</t>
        </is>
      </c>
      <c r="G367" s="4" t="n">
        <v>240</v>
      </c>
      <c r="H367" s="4" t="inlineStr">
        <is>
          <t>AUD million</t>
        </is>
      </c>
      <c r="I367" s="4" t="inlineStr">
        <is>
          <t>Nominal</t>
        </is>
      </c>
      <c r="J367" s="4" t="inlineStr">
        <is>
          <t>P50 Class 5</t>
        </is>
      </c>
      <c r="K367" s="4" t="inlineStr">
        <is>
          <t>+100 per cent/-50 per cent</t>
        </is>
      </c>
      <c r="L367" s="4" t="inlineStr">
        <is>
          <t>proponent PADR estimate</t>
        </is>
      </c>
      <c r="M367" s="4" t="inlineStr">
        <is>
          <t>PADR Option 2d: power flow control (series reactors) in the existing 330 kV network only; the 2024/2026 ISP candidate option</t>
        </is>
      </c>
      <c r="N367" s="4" t="inlineStr">
        <is>
          <t>Not comparable with the 2024 ISP's $221m ($2022-23) or the 2026 ISP's $261m ($2025) figures for the same candidate option: different price basis</t>
        </is>
      </c>
      <c r="O367" s="4" t="inlineStr">
        <is>
          <t>SRS-TG-2026-PADR</t>
        </is>
      </c>
      <c r="P367" s="4" t="inlineStr">
        <is>
          <t>36</t>
        </is>
      </c>
      <c r="Q367" s="4" t="inlineStr">
        <is>
          <t>The estimated capital cost of this option is approximately $240 million (nominal) based on a P50 Class 5 estimate ( +100 per cent/-50 per cent).</t>
        </is>
      </c>
      <c r="R367" s="4" t="inlineStr"/>
      <c r="S367" s="4" t="inlineStr">
        <is>
          <t>Also tabulated in Table E.1 (p.8) and Table 3.1 (p.33).</t>
        </is>
      </c>
    </row>
    <row r="368">
      <c r="A368" s="4" t="inlineStr">
        <is>
          <t>Sydney Ring South (Reinforcing Sydney, Newcastle and Wollongong Supply)</t>
        </is>
      </c>
      <c r="B368" s="4" t="inlineStr">
        <is>
          <t>SRS-PROJECT-SRS</t>
        </is>
      </c>
      <c r="C368" s="4" t="inlineStr">
        <is>
          <t>SRS-AO-2026-PADR-OPT3-STAGE1-COST</t>
        </is>
      </c>
      <c r="D368" s="4" t="inlineStr">
        <is>
          <t>cost</t>
        </is>
      </c>
      <c r="E368" s="4" t="inlineStr">
        <is>
          <t>2026-05</t>
        </is>
      </c>
      <c r="F368" s="4" t="inlineStr">
        <is>
          <t>Transgrid PADR Option 3 Stage 1 capital cost estimate</t>
        </is>
      </c>
      <c r="G368" s="4" t="n">
        <v>2646</v>
      </c>
      <c r="H368" s="4" t="inlineStr">
        <is>
          <t>AUD million</t>
        </is>
      </c>
      <c r="I368" s="4" t="inlineStr">
        <is>
          <t>Nominal</t>
        </is>
      </c>
      <c r="J368" s="4" t="inlineStr">
        <is>
          <t>P50 Class 5</t>
        </is>
      </c>
      <c r="K368" s="4" t="inlineStr">
        <is>
          <t>+100 per cent/-50 per cent</t>
        </is>
      </c>
      <c r="L368" s="4" t="inlineStr">
        <is>
          <t>proponent PADR estimate</t>
        </is>
      </c>
      <c r="M368" s="4" t="inlineStr">
        <is>
          <t>PADR Option 3 Stage 1: 500 kV double-circuit line from Bannaby initially operated at 330 kV, plus a South Creek 330 kV switching station</t>
        </is>
      </c>
      <c r="N368" s="4" t="inlineStr">
        <is>
          <t>Directly cited from the PADR</t>
        </is>
      </c>
      <c r="O368" s="4" t="inlineStr">
        <is>
          <t>SRS-TG-2026-PADR</t>
        </is>
      </c>
      <c r="P368" s="4" t="inlineStr">
        <is>
          <t>36</t>
        </is>
      </c>
      <c r="Q368" s="4" t="inlineStr">
        <is>
          <t>The estimated capital cost of Stage 1 is approximately $2,646 million (nominal) based on a P50 Class 5 estimate ( +100 per cent/-50 per cent).</t>
        </is>
      </c>
      <c r="R368" s="4" t="inlineStr"/>
      <c r="S368" s="4" t="inlineStr">
        <is>
          <t>Also tabulated in Table E.1 (p.8) and Table 3.1 (p.33).</t>
        </is>
      </c>
    </row>
    <row r="369">
      <c r="A369" s="4" t="inlineStr">
        <is>
          <t>Sydney Ring South (Reinforcing Sydney, Newcastle and Wollongong Supply)</t>
        </is>
      </c>
      <c r="B369" s="4" t="inlineStr">
        <is>
          <t>SRS-PROJECT-SRS</t>
        </is>
      </c>
      <c r="C369" s="4" t="inlineStr">
        <is>
          <t>SRS-AO-2026-PADR-OPT3-STAGE2-COST</t>
        </is>
      </c>
      <c r="D369" s="4" t="inlineStr">
        <is>
          <t>cost</t>
        </is>
      </c>
      <c r="E369" s="4" t="inlineStr">
        <is>
          <t>2026-05</t>
        </is>
      </c>
      <c r="F369" s="4" t="inlineStr">
        <is>
          <t>Transgrid PADR Option 3 Stage 2 capital cost estimate</t>
        </is>
      </c>
      <c r="G369" s="4" t="n">
        <v>1162</v>
      </c>
      <c r="H369" s="4" t="inlineStr">
        <is>
          <t>AUD million</t>
        </is>
      </c>
      <c r="I369" s="4" t="inlineStr">
        <is>
          <t>Nominal</t>
        </is>
      </c>
      <c r="J369" s="4" t="inlineStr">
        <is>
          <t>P50 Class 5</t>
        </is>
      </c>
      <c r="K369" s="4" t="inlineStr">
        <is>
          <t>+100 per cent/-50 per cent</t>
        </is>
      </c>
      <c r="L369" s="4" t="inlineStr">
        <is>
          <t>proponent PADR estimate</t>
        </is>
      </c>
      <c r="M369" s="4" t="inlineStr">
        <is>
          <t>PADR Option 3 Stage 2: upgrade South Creek to a 500/330 kV substation, enabling 500 kV line operation</t>
        </is>
      </c>
      <c r="N369" s="4" t="inlineStr">
        <is>
          <t>Directly cited from the PADR</t>
        </is>
      </c>
      <c r="O369" s="4" t="inlineStr">
        <is>
          <t>SRS-TG-2026-PADR</t>
        </is>
      </c>
      <c r="P369" s="4" t="inlineStr">
        <is>
          <t>37</t>
        </is>
      </c>
      <c r="Q369" s="4" t="inlineStr">
        <is>
          <t>The estimated capital cost of Stage 2 is a further $1,162 million (nominal) based on a P50 Class 5 estimate ( +100 per cent/-50 per cent), bringing the total estimated capital cost of the option to $3,808 million (nominal).</t>
        </is>
      </c>
      <c r="R369" s="4" t="inlineStr"/>
      <c r="S369" s="4" t="inlineStr">
        <is>
          <t>Also tabulated in Table E.1 (p.8) and Table 3.1 (p.33).</t>
        </is>
      </c>
    </row>
    <row r="370">
      <c r="A370" s="4" t="inlineStr">
        <is>
          <t>Sydney Ring South (Reinforcing Sydney, Newcastle and Wollongong Supply)</t>
        </is>
      </c>
      <c r="B370" s="4" t="inlineStr">
        <is>
          <t>SRS-PROJECT-SRS</t>
        </is>
      </c>
      <c r="C370" s="4" t="inlineStr">
        <is>
          <t>SRS-AO-2026-PADR-OPT3-TOTAL-COST</t>
        </is>
      </c>
      <c r="D370" s="4" t="inlineStr">
        <is>
          <t>cost</t>
        </is>
      </c>
      <c r="E370" s="4" t="inlineStr">
        <is>
          <t>2026-05</t>
        </is>
      </c>
      <c r="F370" s="4" t="inlineStr">
        <is>
          <t>Transgrid PADR Option 3 total capital cost estimate</t>
        </is>
      </c>
      <c r="G370" s="4" t="n">
        <v>3808</v>
      </c>
      <c r="H370" s="4" t="inlineStr">
        <is>
          <t>AUD million</t>
        </is>
      </c>
      <c r="I370" s="4" t="inlineStr">
        <is>
          <t>Nominal</t>
        </is>
      </c>
      <c r="J370" s="4" t="inlineStr">
        <is>
          <t>P50 Class 5</t>
        </is>
      </c>
      <c r="K370" s="4" t="inlineStr">
        <is>
          <t>+100 per cent/-50 per cent</t>
        </is>
      </c>
      <c r="L370" s="4" t="inlineStr">
        <is>
          <t>proponent PADR estimate</t>
        </is>
      </c>
      <c r="M370" s="4" t="inlineStr">
        <is>
          <t>PADR Option 3: both stages combined</t>
        </is>
      </c>
      <c r="N370" s="4" t="inlineStr">
        <is>
          <t>Directly cited from the PADR; highest-cost of the four equal-ranked first options</t>
        </is>
      </c>
      <c r="O370" s="4" t="inlineStr">
        <is>
          <t>SRS-TG-2026-PADR</t>
        </is>
      </c>
      <c r="P370" s="4" t="inlineStr">
        <is>
          <t>37</t>
        </is>
      </c>
      <c r="Q370" s="4" t="inlineStr">
        <is>
          <t>bringing the total estimated capital cost of the option to $3,808 million (nominal).</t>
        </is>
      </c>
      <c r="R370" s="4" t="inlineStr"/>
      <c r="S370" s="4" t="inlineStr">
        <is>
          <t>Also tabulated in Table E.1 (p.8) and Table 3.1 (p.33).</t>
        </is>
      </c>
    </row>
    <row r="371">
      <c r="A371" s="4" t="inlineStr">
        <is>
          <t>Sydney Ring South (Reinforcing Sydney, Newcastle and Wollongong Supply)</t>
        </is>
      </c>
      <c r="B371" s="4" t="inlineStr">
        <is>
          <t>SRS-PROJECT-SRS</t>
        </is>
      </c>
      <c r="C371" s="4" t="inlineStr">
        <is>
          <t>SRS-AO-2026-PADR-OPT4-STAGE1-COST</t>
        </is>
      </c>
      <c r="D371" s="4" t="inlineStr">
        <is>
          <t>cost</t>
        </is>
      </c>
      <c r="E371" s="4" t="inlineStr">
        <is>
          <t>2026-05</t>
        </is>
      </c>
      <c r="F371" s="4" t="inlineStr">
        <is>
          <t>Transgrid PADR Option 4 Stage 1 capital cost estimate</t>
        </is>
      </c>
      <c r="G371" s="4" t="n">
        <v>942</v>
      </c>
      <c r="H371" s="4" t="inlineStr">
        <is>
          <t>AUD million</t>
        </is>
      </c>
      <c r="I371" s="4" t="inlineStr">
        <is>
          <t>Nominal</t>
        </is>
      </c>
      <c r="J371" s="4" t="inlineStr">
        <is>
          <t>P50 Class 5</t>
        </is>
      </c>
      <c r="K371" s="4" t="inlineStr">
        <is>
          <t>+100 per cent/-50 per cent</t>
        </is>
      </c>
      <c r="L371" s="4" t="inlineStr">
        <is>
          <t>proponent PADR estimate</t>
        </is>
      </c>
      <c r="M371" s="4" t="inlineStr">
        <is>
          <t>PADR Option 4 Stage 1: new South Creek 500/330 kV substation</t>
        </is>
      </c>
      <c r="N371" s="4" t="inlineStr">
        <is>
          <t>Directly cited from the PADR</t>
        </is>
      </c>
      <c r="O371" s="4" t="inlineStr">
        <is>
          <t>SRS-TG-2026-PADR</t>
        </is>
      </c>
      <c r="P371" s="4" t="inlineStr">
        <is>
          <t>37</t>
        </is>
      </c>
      <c r="Q371" s="4" t="inlineStr">
        <is>
          <t>The estimated capital cost of Stage 1 is approximately $942 million (nominal), with Stage 2 adding a further $2,411 million</t>
        </is>
      </c>
      <c r="R371" s="4" t="inlineStr"/>
      <c r="S371" s="4" t="inlineStr">
        <is>
          <t>Also tabulated in Table E.1 (p.8) and Table 3.1 (p.33).</t>
        </is>
      </c>
    </row>
    <row r="372">
      <c r="A372" s="4" t="inlineStr">
        <is>
          <t>Sydney Ring South (Reinforcing Sydney, Newcastle and Wollongong Supply)</t>
        </is>
      </c>
      <c r="B372" s="4" t="inlineStr">
        <is>
          <t>SRS-PROJECT-SRS</t>
        </is>
      </c>
      <c r="C372" s="4" t="inlineStr">
        <is>
          <t>SRS-AO-2026-PADR-OPT4-STAGE2-COST</t>
        </is>
      </c>
      <c r="D372" s="4" t="inlineStr">
        <is>
          <t>cost</t>
        </is>
      </c>
      <c r="E372" s="4" t="inlineStr">
        <is>
          <t>2026-05</t>
        </is>
      </c>
      <c r="F372" s="4" t="inlineStr">
        <is>
          <t>Transgrid PADR Option 4 Stage 2 capital cost estimate</t>
        </is>
      </c>
      <c r="G372" s="4" t="n">
        <v>2411</v>
      </c>
      <c r="H372" s="4" t="inlineStr">
        <is>
          <t>AUD million</t>
        </is>
      </c>
      <c r="I372" s="4" t="inlineStr">
        <is>
          <t>Nominal</t>
        </is>
      </c>
      <c r="J372" s="4" t="inlineStr">
        <is>
          <t>P50 Class 5</t>
        </is>
      </c>
      <c r="K372" s="4" t="inlineStr">
        <is>
          <t>+100 per cent/-50 per cent</t>
        </is>
      </c>
      <c r="L372" s="4" t="inlineStr">
        <is>
          <t>proponent PADR estimate</t>
        </is>
      </c>
      <c r="M372" s="4" t="inlineStr">
        <is>
          <t>PADR Option 4 Stage 2: 500 kV double-circuit line from Bannaby to South Western Sydney</t>
        </is>
      </c>
      <c r="N372" s="4" t="inlineStr">
        <is>
          <t>Directly cited from the PADR</t>
        </is>
      </c>
      <c r="O372" s="4" t="inlineStr">
        <is>
          <t>SRS-TG-2026-PADR</t>
        </is>
      </c>
      <c r="P372" s="4" t="inlineStr">
        <is>
          <t>37</t>
        </is>
      </c>
      <c r="Q372" s="4" t="inlineStr">
        <is>
          <t>with Stage 2 adding a further $2,411 million (nominal) based on a P50 Class 5 estimate</t>
        </is>
      </c>
      <c r="R372" s="4" t="inlineStr"/>
      <c r="S372" s="4" t="inlineStr">
        <is>
          <t>Also tabulated in Table E.1 (p.8) and Table 3.1 (p.33).</t>
        </is>
      </c>
    </row>
    <row r="373">
      <c r="A373" s="4" t="inlineStr">
        <is>
          <t>Sydney Ring South (Reinforcing Sydney, Newcastle and Wollongong Supply)</t>
        </is>
      </c>
      <c r="B373" s="4" t="inlineStr">
        <is>
          <t>SRS-PROJECT-SRS</t>
        </is>
      </c>
      <c r="C373" s="4" t="inlineStr">
        <is>
          <t>SRS-AO-2026-PADR-OPT4-TOTAL-COST</t>
        </is>
      </c>
      <c r="D373" s="4" t="inlineStr">
        <is>
          <t>cost</t>
        </is>
      </c>
      <c r="E373" s="4" t="inlineStr">
        <is>
          <t>2026-05</t>
        </is>
      </c>
      <c r="F373" s="4" t="inlineStr">
        <is>
          <t>Transgrid PADR Option 4 total capital cost estimate</t>
        </is>
      </c>
      <c r="G373" s="4" t="n">
        <v>3353</v>
      </c>
      <c r="H373" s="4" t="inlineStr">
        <is>
          <t>AUD million</t>
        </is>
      </c>
      <c r="I373" s="4" t="inlineStr">
        <is>
          <t>Nominal</t>
        </is>
      </c>
      <c r="J373" s="4" t="inlineStr">
        <is>
          <t>P50 Class 5</t>
        </is>
      </c>
      <c r="K373" s="4" t="inlineStr">
        <is>
          <t>+100 per cent/-50 per cent</t>
        </is>
      </c>
      <c r="L373" s="4" t="inlineStr">
        <is>
          <t>proponent PADR estimate</t>
        </is>
      </c>
      <c r="M373" s="4" t="inlineStr">
        <is>
          <t>PADR Option 4: both stages combined</t>
        </is>
      </c>
      <c r="N373" s="4" t="inlineStr">
        <is>
          <t>Directly cited from the PADR; lowest-cost of the four equal-ranked first options</t>
        </is>
      </c>
      <c r="O373" s="4" t="inlineStr">
        <is>
          <t>SRS-TG-2026-PADR</t>
        </is>
      </c>
      <c r="P373" s="4" t="inlineStr">
        <is>
          <t>37</t>
        </is>
      </c>
      <c r="Q373" s="4" t="inlineStr">
        <is>
          <t>The total estimated capital cost of the option is $3,353 million (nominal).</t>
        </is>
      </c>
      <c r="R373" s="4" t="inlineStr"/>
      <c r="S373" s="4" t="inlineStr">
        <is>
          <t>Matches AEMO's secondhand range low end (SRS-AO-2026-PADR-RANK1-LOW). Also tabulated in Table E.1 (p.8) and Table 3.1 (p.33).</t>
        </is>
      </c>
    </row>
    <row r="374">
      <c r="A374" s="4" t="inlineStr">
        <is>
          <t>Sydney Ring South (Reinforcing Sydney, Newcastle and Wollongong Supply)</t>
        </is>
      </c>
      <c r="B374" s="4" t="inlineStr">
        <is>
          <t>SRS-PROJECT-SRS</t>
        </is>
      </c>
      <c r="C374" s="4" t="inlineStr">
        <is>
          <t>SRS-AO-2026-PADR-OPT5-STAGE1-COST</t>
        </is>
      </c>
      <c r="D374" s="4" t="inlineStr">
        <is>
          <t>cost</t>
        </is>
      </c>
      <c r="E374" s="4" t="inlineStr">
        <is>
          <t>2026-05</t>
        </is>
      </c>
      <c r="F374" s="4" t="inlineStr">
        <is>
          <t>Transgrid PADR Option 5 Stage 1 capital cost estimate</t>
        </is>
      </c>
      <c r="G374" s="4" t="n">
        <v>251</v>
      </c>
      <c r="H374" s="4" t="inlineStr">
        <is>
          <t>AUD million</t>
        </is>
      </c>
      <c r="I374" s="4" t="inlineStr">
        <is>
          <t>Nominal</t>
        </is>
      </c>
      <c r="J374" s="4" t="inlineStr">
        <is>
          <t>P50 Class 5</t>
        </is>
      </c>
      <c r="K374" s="4" t="inlineStr">
        <is>
          <t>+100 per cent/-50 per cent</t>
        </is>
      </c>
      <c r="L374" s="4" t="inlineStr">
        <is>
          <t>proponent PADR estimate</t>
        </is>
      </c>
      <c r="M374" s="4" t="inlineStr">
        <is>
          <t>PADR Option 5 Stage 1: power flow control (series reactors) in the existing 330 kV network</t>
        </is>
      </c>
      <c r="N374" s="4" t="inlineStr">
        <is>
          <t>Directly cited from the PADR</t>
        </is>
      </c>
      <c r="O374" s="4" t="inlineStr">
        <is>
          <t>SRS-TG-2026-PADR</t>
        </is>
      </c>
      <c r="P374" s="4" t="inlineStr">
        <is>
          <t>38</t>
        </is>
      </c>
      <c r="Q374" s="4" t="inlineStr">
        <is>
          <t>The estimated capital cost of Stage 1 is approximately $251 million (nominal) based on a P50 Class 5 estimate ( +100 per cent/-50 per cent).</t>
        </is>
      </c>
      <c r="R374" s="4" t="inlineStr"/>
      <c r="S374" s="4" t="inlineStr">
        <is>
          <t>Also tabulated in Table E.1 (p.8) and Table 3.1 (p.33).</t>
        </is>
      </c>
    </row>
    <row r="375">
      <c r="A375" s="4" t="inlineStr">
        <is>
          <t>Sydney Ring South (Reinforcing Sydney, Newcastle and Wollongong Supply)</t>
        </is>
      </c>
      <c r="B375" s="4" t="inlineStr">
        <is>
          <t>SRS-PROJECT-SRS</t>
        </is>
      </c>
      <c r="C375" s="4" t="inlineStr">
        <is>
          <t>SRS-AO-2026-PADR-OPT5-STAGE2-COST</t>
        </is>
      </c>
      <c r="D375" s="4" t="inlineStr">
        <is>
          <t>cost</t>
        </is>
      </c>
      <c r="E375" s="4" t="inlineStr">
        <is>
          <t>2026-05</t>
        </is>
      </c>
      <c r="F375" s="4" t="inlineStr">
        <is>
          <t>Transgrid PADR Option 5 Stage 2 capital cost estimate</t>
        </is>
      </c>
      <c r="G375" s="4" t="n">
        <v>4664</v>
      </c>
      <c r="H375" s="4" t="inlineStr">
        <is>
          <t>AUD million</t>
        </is>
      </c>
      <c r="I375" s="4" t="inlineStr">
        <is>
          <t>Nominal</t>
        </is>
      </c>
      <c r="J375" s="4" t="inlineStr">
        <is>
          <t>P50 Class 5</t>
        </is>
      </c>
      <c r="K375" s="4" t="inlineStr">
        <is>
          <t>+100 per cent/-50 per cent</t>
        </is>
      </c>
      <c r="L375" s="4" t="inlineStr">
        <is>
          <t>proponent PADR estimate</t>
        </is>
      </c>
      <c r="M375" s="4" t="inlineStr">
        <is>
          <t>PADR Option 5 Stage 2: deferred 500 kV double-circuit line and new South Creek 500/330 kV substation</t>
        </is>
      </c>
      <c r="N375" s="4" t="inlineStr">
        <is>
          <t>Directly cited from the PADR</t>
        </is>
      </c>
      <c r="O375" s="4" t="inlineStr">
        <is>
          <t>SRS-TG-2026-PADR</t>
        </is>
      </c>
      <c r="P375" s="4" t="inlineStr">
        <is>
          <t>38</t>
        </is>
      </c>
      <c r="Q375" s="4" t="inlineStr">
        <is>
          <t>The estimated capital cost of Stage 2 is a further $4,664 million (nominal) based on a P50 Class 5 estimate ( +100 per cent/-50 per cent), bringing the total estimated capital cost of the option to $4,915 million (nominal).</t>
        </is>
      </c>
      <c r="R375" s="4" t="inlineStr"/>
      <c r="S375" s="4" t="inlineStr">
        <is>
          <t>Also tabulated in Table E.1 (p.8) and Table 3.1 (p.33).</t>
        </is>
      </c>
    </row>
    <row r="376">
      <c r="A376" s="4" t="inlineStr">
        <is>
          <t>Sydney Ring South (Reinforcing Sydney, Newcastle and Wollongong Supply)</t>
        </is>
      </c>
      <c r="B376" s="4" t="inlineStr">
        <is>
          <t>SRS-PROJECT-SRS</t>
        </is>
      </c>
      <c r="C376" s="4" t="inlineStr">
        <is>
          <t>SRS-AO-2026-PADR-OPT5-TOTAL-COST</t>
        </is>
      </c>
      <c r="D376" s="4" t="inlineStr">
        <is>
          <t>cost</t>
        </is>
      </c>
      <c r="E376" s="4" t="inlineStr">
        <is>
          <t>2026-05</t>
        </is>
      </c>
      <c r="F376" s="4" t="inlineStr">
        <is>
          <t>Transgrid PADR Option 5 total capital cost estimate</t>
        </is>
      </c>
      <c r="G376" s="4" t="n">
        <v>4915</v>
      </c>
      <c r="H376" s="4" t="inlineStr">
        <is>
          <t>AUD million</t>
        </is>
      </c>
      <c r="I376" s="4" t="inlineStr">
        <is>
          <t>Nominal</t>
        </is>
      </c>
      <c r="J376" s="4" t="inlineStr">
        <is>
          <t>P50 Class 5</t>
        </is>
      </c>
      <c r="K376" s="4" t="inlineStr">
        <is>
          <t>+100 per cent/-50 per cent</t>
        </is>
      </c>
      <c r="L376" s="4" t="inlineStr">
        <is>
          <t>proponent PADR estimate</t>
        </is>
      </c>
      <c r="M376" s="4" t="inlineStr">
        <is>
          <t>PADR Option 5: both stages combined</t>
        </is>
      </c>
      <c r="N376" s="4" t="inlineStr">
        <is>
          <t>Directly cited from the PADR; highest-cost of the four equal-ranked first options</t>
        </is>
      </c>
      <c r="O376" s="4" t="inlineStr">
        <is>
          <t>SRS-TG-2026-PADR</t>
        </is>
      </c>
      <c r="P376" s="4" t="inlineStr">
        <is>
          <t>38</t>
        </is>
      </c>
      <c r="Q376" s="4" t="inlineStr">
        <is>
          <t>bringing the total estimated capital cost of the option to $4,915 million (nominal).</t>
        </is>
      </c>
      <c r="R376" s="4" t="inlineStr"/>
      <c r="S376" s="4" t="inlineStr">
        <is>
          <t>Matches AEMO's secondhand range high end (SRS-AO-2026-PADR-RANK1-HIGH). Also tabulated in Table E.1 (p.8) and Table 3.1 (p.33).</t>
        </is>
      </c>
    </row>
    <row r="377">
      <c r="A377" s="4" t="inlineStr">
        <is>
          <t>Sydney Ring South (Reinforcing Sydney, Newcastle and Wollongong Supply)</t>
        </is>
      </c>
      <c r="B377" s="4" t="inlineStr">
        <is>
          <t>SRS-PROJECT-SRS</t>
        </is>
      </c>
      <c r="C377" s="4" t="inlineStr">
        <is>
          <t>SRS-AO-2026-PROJECTPAGE-SIX-OPTIONS</t>
        </is>
      </c>
      <c r="D377" s="4" t="inlineStr">
        <is>
          <t>other</t>
        </is>
      </c>
      <c r="E377" s="4" t="inlineStr">
        <is>
          <t>2026-09-04</t>
        </is>
      </c>
      <c r="F377" s="4" t="inlineStr">
        <is>
          <t>Transgrid project page: number of options assessed in the PADR</t>
        </is>
      </c>
      <c r="G377" s="4" t="n">
        <v>6</v>
      </c>
      <c r="H377" s="4" t="inlineStr">
        <is>
          <t>count</t>
        </is>
      </c>
      <c r="I377" s="4" t="n"/>
      <c r="J377" s="4" t="n"/>
      <c r="K377" s="4" t="n"/>
      <c r="L377" s="4" t="inlineStr">
        <is>
          <t>proponent webpage statement</t>
        </is>
      </c>
      <c r="M377" s="4" t="inlineStr">
        <is>
          <t>Options assessed in the Sydney Ring South PADR</t>
        </is>
      </c>
      <c r="N377" s="4" t="inlineStr">
        <is>
          <t>Matches the PADR's own six-option set (Options 2, 2d, 3, 4, 5, 6) already priced in this pack</t>
        </is>
      </c>
      <c r="O377" s="4" t="inlineStr">
        <is>
          <t>SRS-TG-2026-PROJECTPAGE</t>
        </is>
      </c>
      <c r="P377" s="4" t="inlineStr">
        <is>
          <t>web</t>
        </is>
      </c>
      <c r="Q377" s="4" t="inlineStr">
        <is>
          <t>Transgrid has assessed six options to upgrade infrastructure, including upgrades to the existing network and new substations and transmission lines that could bring more energy into Western Sydney.</t>
        </is>
      </c>
      <c r="R377" s="4" t="inlineStr"/>
      <c r="S377" s="4" t="inlineStr">
        <is>
          <t>Web capture; unpaged, cited as page 'web'.</t>
        </is>
      </c>
    </row>
    <row r="378">
      <c r="A378" s="4" t="inlineStr">
        <is>
          <t>Sydney Ring South (Reinforcing Sydney, Newcastle and Wollongong Supply)</t>
        </is>
      </c>
      <c r="B378" s="4" t="inlineStr">
        <is>
          <t>SRS-PROJECT-SRS</t>
        </is>
      </c>
      <c r="C378" s="4" t="inlineStr">
        <is>
          <t>SRS-AO-2026-PROJECTPAGE-500KV-PATHWAY</t>
        </is>
      </c>
      <c r="D378" s="4" t="inlineStr">
        <is>
          <t>voltage</t>
        </is>
      </c>
      <c r="E378" s="4" t="inlineStr">
        <is>
          <t>2026-09-04</t>
        </is>
      </c>
      <c r="F378" s="4" t="inlineStr">
        <is>
          <t>Transgrid project page: second high-capacity pathway into Western Sydney</t>
        </is>
      </c>
      <c r="G378" s="4" t="n">
        <v>500</v>
      </c>
      <c r="H378" s="4" t="inlineStr">
        <is>
          <t>kV</t>
        </is>
      </c>
      <c r="I378" s="4" t="n"/>
      <c r="J378" s="4" t="n"/>
      <c r="K378" s="4" t="n"/>
      <c r="L378" s="4" t="inlineStr">
        <is>
          <t>proponent webpage statement</t>
        </is>
      </c>
      <c r="M378" s="4" t="inlineStr">
        <is>
          <t>Preferred PADR option: new transmission pathway into Western Sydney</t>
        </is>
      </c>
      <c r="N378" s="4" t="inlineStr">
        <is>
          <t>Corroborates the PADR-derived 500 kV design voltage (SRS-AO-2026-VOLTAGE-DESIGN); no route or corridor is stated</t>
        </is>
      </c>
      <c r="O378" s="4" t="inlineStr">
        <is>
          <t>SRS-TG-2026-PROJECTPAGE</t>
        </is>
      </c>
      <c r="P378" s="4" t="inlineStr">
        <is>
          <t>web</t>
        </is>
      </c>
      <c r="Q378" s="4" t="inlineStr">
        <is>
          <t>Transgrid is investigating options for a second high-capacity transmission pathway, such as a 500 kV transmission line, into Western Sydney.</t>
        </is>
      </c>
      <c r="R378" s="4" t="inlineStr"/>
      <c r="S378" s="4" t="inlineStr">
        <is>
          <t>Same page states elsewhere that no corridor, route or preferred technology has been decided (SRS-AO-2026-PROJECTPAGE-NO-ROUTE).</t>
        </is>
      </c>
    </row>
    <row r="379">
      <c r="A379" s="4" t="inlineStr">
        <is>
          <t>Sydney Ring South (Reinforcing Sydney, Newcastle and Wollongong Supply)</t>
        </is>
      </c>
      <c r="B379" s="4" t="inlineStr">
        <is>
          <t>SRS-PROJECT-SRS</t>
        </is>
      </c>
      <c r="C379" s="4" t="inlineStr">
        <is>
          <t>SRS-AO-2026-PROJECTPAGE-PADR-CONSULTATION</t>
        </is>
      </c>
      <c r="D379" s="4" t="inlineStr">
        <is>
          <t>other</t>
        </is>
      </c>
      <c r="E379" s="4" t="inlineStr">
        <is>
          <t>2026-09-04</t>
        </is>
      </c>
      <c r="F379" s="4" t="inlineStr">
        <is>
          <t>Transgrid project page: PADR consultation status</t>
        </is>
      </c>
      <c r="G379" s="4" t="n"/>
      <c r="H379" s="4" t="inlineStr">
        <is>
          <t>date</t>
        </is>
      </c>
      <c r="I379" s="4" t="n"/>
      <c r="J379" s="4" t="n"/>
      <c r="K379" s="4" t="n"/>
      <c r="L379" s="4" t="inlineStr">
        <is>
          <t>proponent webpage statement</t>
        </is>
      </c>
      <c r="M379" s="4" t="inlineStr">
        <is>
          <t>PADR public consultation period</t>
        </is>
      </c>
      <c r="N379" s="4" t="inlineStr">
        <is>
          <t>Confirms the PADR was published and open for consultation as reported elsewhere in this pack</t>
        </is>
      </c>
      <c r="O379" s="4" t="inlineStr">
        <is>
          <t>SRS-TG-2026-PROJECTPAGE</t>
        </is>
      </c>
      <c r="P379" s="4" t="inlineStr">
        <is>
          <t>web</t>
        </is>
      </c>
      <c r="Q379" s="4" t="inlineStr">
        <is>
          <t>13-week consultation period was open for submissions between 29 May and 28 August 2026.</t>
        </is>
      </c>
      <c r="R379" s="4" t="inlineStr"/>
      <c r="S379" s="4" t="inlineStr">
        <is>
          <t>Page marks the PADR stage as 'Completed' with this consultation window.</t>
        </is>
      </c>
    </row>
    <row r="380">
      <c r="A380" s="4" t="inlineStr">
        <is>
          <t>Sydney Ring South (Reinforcing Sydney, Newcastle and Wollongong Supply)</t>
        </is>
      </c>
      <c r="B380" s="4" t="inlineStr">
        <is>
          <t>SRS-PROJECT-SRS</t>
        </is>
      </c>
      <c r="C380" s="4" t="inlineStr">
        <is>
          <t>SRS-AO-2026-PROJECTPAGE-PACR-TIMING</t>
        </is>
      </c>
      <c r="D380" s="4" t="inlineStr">
        <is>
          <t>completion</t>
        </is>
      </c>
      <c r="E380" s="4" t="inlineStr">
        <is>
          <t>2026-09-04</t>
        </is>
      </c>
      <c r="F380" s="4" t="inlineStr">
        <is>
          <t>Transgrid project page: anticipated PACR publication timing</t>
        </is>
      </c>
      <c r="G380" s="4" t="inlineStr">
        <is>
          <t>mid-2027</t>
        </is>
      </c>
      <c r="H380" s="4" t="inlineStr">
        <is>
          <t>date</t>
        </is>
      </c>
      <c r="I380" s="4" t="n"/>
      <c r="J380" s="4" t="n"/>
      <c r="K380" s="4" t="n"/>
      <c r="L380" s="4" t="inlineStr">
        <is>
          <t>proponent webpage statement</t>
        </is>
      </c>
      <c r="M380" s="4" t="inlineStr">
        <is>
          <t>Publication of the PACR (final preferred option determination); not the project's physical completion date</t>
        </is>
      </c>
      <c r="N380" s="4" t="inlineStr">
        <is>
          <t>A regulatory-milestone timing, not comparable with the chart's 2034 completion date or the ODP's 2033-34 delivery timing</t>
        </is>
      </c>
      <c r="O380" s="4" t="inlineStr">
        <is>
          <t>SRS-TG-2026-PROJECTPAGE</t>
        </is>
      </c>
      <c r="P380" s="4" t="inlineStr">
        <is>
          <t>web</t>
        </is>
      </c>
      <c r="Q380" s="4" t="inlineStr">
        <is>
          <t>We anticipate the PACR, which outlines the final preferred option, will be published in mid-2027 at the earliest.</t>
        </is>
      </c>
      <c r="R380" s="4" t="inlineStr"/>
      <c r="S380" s="4" t="inlineStr">
        <is>
          <t>Do not conflate with SRS-AO-2026-COMPLETION-ODP; this is the PACR publication date, not a completion date.</t>
        </is>
      </c>
    </row>
    <row r="381">
      <c r="A381" s="4" t="inlineStr">
        <is>
          <t>Sydney Ring South (Reinforcing Sydney, Newcastle and Wollongong Supply)</t>
        </is>
      </c>
      <c r="B381" s="4" t="inlineStr">
        <is>
          <t>SRS-PROJECT-SRS</t>
        </is>
      </c>
      <c r="C381" s="4" t="inlineStr">
        <is>
          <t>SRS-AO-2026-PROJECTPAGE-NO-ROUTE</t>
        </is>
      </c>
      <c r="D381" s="4" t="inlineStr">
        <is>
          <t>other</t>
        </is>
      </c>
      <c r="E381" s="4" t="inlineStr">
        <is>
          <t>2026-09-04</t>
        </is>
      </c>
      <c r="F381" s="4" t="inlineStr">
        <is>
          <t>Transgrid project page: no route or technology decided</t>
        </is>
      </c>
      <c r="G381" s="4" t="n"/>
      <c r="H381" s="4" t="n"/>
      <c r="I381" s="4" t="n"/>
      <c r="J381" s="4" t="n"/>
      <c r="K381" s="4" t="n"/>
      <c r="L381" s="4" t="inlineStr">
        <is>
          <t>proponent webpage statement</t>
        </is>
      </c>
      <c r="M381" s="4" t="inlineStr">
        <is>
          <t>Sydney Ring South planning status as at capture</t>
        </is>
      </c>
      <c r="N381" s="4" t="inlineStr">
        <is>
          <t>Confirms the PADR/draft RIT-T stage status recorded elsewhere in this pack</t>
        </is>
      </c>
      <c r="O381" s="4" t="inlineStr">
        <is>
          <t>SRS-TG-2026-PROJECTPAGE</t>
        </is>
      </c>
      <c r="P381" s="4" t="inlineStr">
        <is>
          <t>web</t>
        </is>
      </c>
      <c r="Q381" s="4" t="inlineStr">
        <is>
          <t>At this stage of the planning process, no corridor, route or preferred technology has been decided, and the final engineering solution remains open. No final decision on a preferred option has been made.</t>
        </is>
      </c>
      <c r="R381" s="4" t="inlineStr"/>
      <c r="S381" s="4" t="inlineStr"/>
    </row>
    <row r="382">
      <c r="A382" s="4" t="inlineStr">
        <is>
          <t>VNI West (South West NSW REZ component)</t>
        </is>
      </c>
      <c r="B382" s="4" t="inlineStr">
        <is>
          <t>VNN-PROJECT-VNI-NSW</t>
        </is>
      </c>
      <c r="C382" s="4" t="inlineStr">
        <is>
          <t>VNN-AO-2026-VNIWEST-TOTAL</t>
        </is>
      </c>
      <c r="D382" s="4" t="inlineStr">
        <is>
          <t>cost</t>
        </is>
      </c>
      <c r="E382" s="4" t="inlineStr">
        <is>
          <t>2026-06</t>
        </is>
      </c>
      <c r="F382" s="4" t="inlineStr">
        <is>
          <t>AEMO 2026 ISP reported cost, South West NSW REZ + Interconnector</t>
        </is>
      </c>
      <c r="G382" s="4" t="n">
        <v>7600</v>
      </c>
      <c r="H382" s="4" t="inlineStr">
        <is>
          <t>AUD million</t>
        </is>
      </c>
      <c r="I382" s="4" t="inlineStr">
        <is>
          <t>$2025</t>
        </is>
      </c>
      <c r="J382" s="4" t="inlineStr">
        <is>
          <t>Class 4</t>
        </is>
      </c>
      <c r="K382" s="4" t="inlineStr">
        <is>
          <t>-30%/+50%</t>
        </is>
      </c>
      <c r="L382" s="4" t="inlineStr">
        <is>
          <t>reported project cost / actionable ISP and NSW project</t>
        </is>
      </c>
      <c r="M382" s="4" t="inlineStr">
        <is>
          <t>Whole VNI West as reported by AEMO: South West NSW REZ plus Interconnector, including two Dinawan 500/330 kV transformers only</t>
        </is>
      </c>
      <c r="N382" s="4" t="inlineStr">
        <is>
          <t>Bundled whole-project boundary; no NSW allocation exists. Not like-for-like with the 2024 $3,499m or $3,614m figures (different dollar year, scope and route).</t>
        </is>
      </c>
      <c r="O382" s="4" t="inlineStr">
        <is>
          <t>HUM-AEMO-2026-ISP-A5</t>
        </is>
      </c>
      <c r="P382" s="4" t="inlineStr">
        <is>
          <t>52</t>
        </is>
      </c>
      <c r="Q382" s="4" t="inlineStr">
        <is>
          <t>above the $7,600 million cost of VNI West, which includes two transformers only.</t>
        </is>
      </c>
      <c r="R382" s="4" t="inlineStr">
        <is>
          <t>selected</t>
        </is>
      </c>
      <c r="S382" s="4" t="inlineStr">
        <is>
          <t>AEMO adds that Transgrid advised $565 million of the amount relates to approved early works and other incurred costs, excluded from the 2026 ISP CBA.</t>
        </is>
      </c>
    </row>
    <row r="383">
      <c r="A383" s="4" t="inlineStr">
        <is>
          <t>VNI West (South West NSW REZ component)</t>
        </is>
      </c>
      <c r="B383" s="4" t="inlineStr">
        <is>
          <t>VNN-PROJECT-VNI-NSW</t>
        </is>
      </c>
      <c r="C383" s="4" t="inlineStr">
        <is>
          <t>VNN-AO-2026-TRF3-INCREMENT</t>
        </is>
      </c>
      <c r="D383" s="4" t="inlineStr">
        <is>
          <t>cost</t>
        </is>
      </c>
      <c r="E383" s="4" t="inlineStr">
        <is>
          <t>2026-06</t>
        </is>
      </c>
      <c r="F383" s="4" t="inlineStr">
        <is>
          <t>AEMO 2026 third Dinawan transformer increment (N5 Option 2)</t>
        </is>
      </c>
      <c r="G383" s="4" t="n">
        <v>116</v>
      </c>
      <c r="H383" s="4" t="inlineStr">
        <is>
          <t>AUD million</t>
        </is>
      </c>
      <c r="I383" s="4" t="n"/>
      <c r="J383" s="4" t="inlineStr">
        <is>
          <t>Class 5b</t>
        </is>
      </c>
      <c r="K383" s="4" t="inlineStr">
        <is>
          <t>±50%</t>
        </is>
      </c>
      <c r="L383" s="4" t="inlineStr">
        <is>
          <t>separately modelled increment</t>
        </is>
      </c>
      <c r="M383" s="4" t="inlineStr">
        <is>
          <t>Additional cost of a third Dinawan transformer above the $7,600m two-transformer amount</t>
        </is>
      </c>
      <c r="N383" s="4" t="inlineStr">
        <is>
          <t>Not additive with $7,600m absent a source-defined combined boundary; do not form $7,716m.</t>
        </is>
      </c>
      <c r="O383" s="4" t="inlineStr">
        <is>
          <t>HUM-AEMO-2026-ISP-A5</t>
        </is>
      </c>
      <c r="P383" s="4" t="inlineStr">
        <is>
          <t>52</t>
        </is>
      </c>
      <c r="Q383" s="4" t="inlineStr">
        <is>
          <t>This has been modelled separately at an additional cost of $116</t>
        </is>
      </c>
      <c r="R383" s="4" t="inlineStr"/>
      <c r="S383" s="4" t="inlineStr">
        <is>
          <t>Price basis is not stated for the increment; the $7,600m it sits above is $2025.</t>
        </is>
      </c>
    </row>
    <row r="384">
      <c r="A384" s="4" t="inlineStr">
        <is>
          <t>VNI West (South West NSW REZ component)</t>
        </is>
      </c>
      <c r="B384" s="4" t="inlineStr">
        <is>
          <t>VNN-PROJECT-VNI-NSW</t>
        </is>
      </c>
      <c r="C384" s="4" t="inlineStr">
        <is>
          <t>VNN-AO-2024-VNIWEST-3499</t>
        </is>
      </c>
      <c r="D384" s="4" t="inlineStr">
        <is>
          <t>cost</t>
        </is>
      </c>
      <c r="E384" s="4" t="inlineStr">
        <is>
          <t>2024-06</t>
        </is>
      </c>
      <c r="F384" s="4" t="inlineStr">
        <is>
          <t>AEMO 2024 ISP expected cost, VNI West Option 1</t>
        </is>
      </c>
      <c r="G384" s="4" t="n">
        <v>3499</v>
      </c>
      <c r="H384" s="4" t="inlineStr">
        <is>
          <t>AUD million</t>
        </is>
      </c>
      <c r="I384" s="4" t="inlineStr">
        <is>
          <t>2020-21 dollars</t>
        </is>
      </c>
      <c r="J384" s="4" t="inlineStr">
        <is>
          <t>Class 4</t>
        </is>
      </c>
      <c r="K384" s="4" t="inlineStr">
        <is>
          <t>± 30%</t>
        </is>
      </c>
      <c r="L384" s="4" t="inlineStr">
        <is>
          <t>expected cost / actionable ISP project</t>
        </is>
      </c>
      <c r="M384" s="4" t="inlineStr">
        <is>
          <t>Whole VNI West Option 1 (Bulgana - near Kerang - Dinawan), inclusive of the $315m WRL project</t>
        </is>
      </c>
      <c r="N384" s="4" t="inlineStr">
        <is>
          <t>Historical whole-project figure on a different route, dollar year and scope; not a revision of, and not comparable with, the 2026 $7,600m.</t>
        </is>
      </c>
      <c r="O384" s="4" t="inlineStr">
        <is>
          <t>HUM-AEMO-2024-ISP-A5</t>
        </is>
      </c>
      <c r="P384" s="4" t="inlineStr">
        <is>
          <t>45</t>
        </is>
      </c>
      <c r="Q384" s="4" t="inlineStr">
        <is>
          <t>3,499 *</t>
        </is>
      </c>
      <c r="R384" s="4" t="inlineStr"/>
      <c r="S384" s="4" t="inlineStr">
        <is>
          <t>Source states the cost is inclusive of the $315m WRL project.</t>
        </is>
      </c>
    </row>
    <row r="385">
      <c r="A385" s="4" t="inlineStr">
        <is>
          <t>VNI West (South West NSW REZ component)</t>
        </is>
      </c>
      <c r="B385" s="4" t="inlineStr">
        <is>
          <t>VNN-PROJECT-VNI-NSW</t>
        </is>
      </c>
      <c r="C385" s="4" t="inlineStr">
        <is>
          <t>VNN-AO-2024-VNIWEST-3614</t>
        </is>
      </c>
      <c r="D385" s="4" t="inlineStr">
        <is>
          <t>cost</t>
        </is>
      </c>
      <c r="E385" s="4" t="inlineStr">
        <is>
          <t>2024-06</t>
        </is>
      </c>
      <c r="F385" s="4" t="inlineStr">
        <is>
          <t>AEMO 2024 ISP modelled cost for VNI West after WRL subtraction</t>
        </is>
      </c>
      <c r="G385" s="4" t="n">
        <v>3614</v>
      </c>
      <c r="H385" s="4" t="inlineStr">
        <is>
          <t>AUD million</t>
        </is>
      </c>
      <c r="I385" s="4" t="inlineStr">
        <is>
          <t>real 2023 dollars</t>
        </is>
      </c>
      <c r="J385" s="4" t="n"/>
      <c r="K385" s="4" t="inlineStr">
        <is>
          <t>Not stated for the modelled value</t>
        </is>
      </c>
      <c r="L385" s="4" t="inlineStr">
        <is>
          <t>ISP modelling value</t>
        </is>
      </c>
      <c r="M385" s="4" t="inlineStr">
        <is>
          <t>Whole VNI West excluding WRL, converted from the 2020-21 quoted cost</t>
        </is>
      </c>
      <c r="N385" s="4" t="inlineStr">
        <is>
          <t>A derived modelling value stated by the source; distinct from the $3,499m quoted cost and not additive with it.</t>
        </is>
      </c>
      <c r="O385" s="4" t="inlineStr">
        <is>
          <t>HUM-AEMO-2024-ISP-A5</t>
        </is>
      </c>
      <c r="P385" s="4" t="inlineStr">
        <is>
          <t>45</t>
        </is>
      </c>
      <c r="Q385" s="4" t="inlineStr">
        <is>
          <t>AEMO has applied a cost of $3,614 million for VNI West. This is determined by subtracting the cost of WRL from the quoted project cost in 2020-21 dollars and converting to real 2023 dollars.</t>
        </is>
      </c>
      <c r="R385" s="4" t="inlineStr"/>
      <c r="S385" s="4" t="inlineStr"/>
    </row>
    <row r="386">
      <c r="A386" s="4" t="inlineStr">
        <is>
          <t>VNI West (South West NSW REZ component)</t>
        </is>
      </c>
      <c r="B386" s="4" t="inlineStr">
        <is>
          <t>VNN-PROJECT-VNI-NSW</t>
        </is>
      </c>
      <c r="C386" s="4" t="inlineStr">
        <is>
          <t>VNN-AO-2026-NSW-FUNDING-225</t>
        </is>
      </c>
      <c r="D386" s="4" t="inlineStr">
        <is>
          <t>other</t>
        </is>
      </c>
      <c r="E386" s="4" t="inlineStr">
        <is>
          <t>2026-06</t>
        </is>
      </c>
      <c r="F386" s="4" t="inlineStr">
        <is>
          <t>NSW Government 2026 Budget investment announcement, South West REZ</t>
        </is>
      </c>
      <c r="G386" s="4" t="n">
        <v>225</v>
      </c>
      <c r="H386" s="4" t="inlineStr">
        <is>
          <t>AUD million</t>
        </is>
      </c>
      <c r="I386" s="4" t="n"/>
      <c r="J386" s="4" t="n"/>
      <c r="K386" s="4" t="inlineStr">
        <is>
          <t>Not stated</t>
        </is>
      </c>
      <c r="L386" s="4" t="inlineStr">
        <is>
          <t>government funding announcement</t>
        </is>
      </c>
      <c r="M386" s="4" t="inlineStr">
        <is>
          <t>NSW Budget investment to support South West REZ grid upgrades; not project cost, approved capex, allowance or outturn</t>
        </is>
      </c>
      <c r="N386" s="4" t="inlineStr">
        <is>
          <t>Funding announcement only; never to be netted against or compared with the ISP cost observations.</t>
        </is>
      </c>
      <c r="O386" s="4" t="inlineStr">
        <is>
          <t>ATE15-EC-FUND-1</t>
        </is>
      </c>
      <c r="P386" s="4" t="inlineStr">
        <is>
          <t>captured HTML page; derivative line 278</t>
        </is>
      </c>
      <c r="Q386" s="4" t="inlineStr">
        <is>
          <t>The Minns Labor Government will invest $225 million in the 2026 NSW Budget to bring more low-cost renewable energy into the grid</t>
        </is>
      </c>
      <c r="R386" s="4" t="inlineStr"/>
      <c r="S386" s="4" t="inlineStr">
        <is>
          <t>Publication date is not asserted from the page. AEMO 2026 footnote 100 cites the same announcement.</t>
        </is>
      </c>
    </row>
    <row r="387">
      <c r="A387" s="4" t="inlineStr">
        <is>
          <t>VNI West (South West NSW REZ component)</t>
        </is>
      </c>
      <c r="B387" s="4" t="inlineStr">
        <is>
          <t>VNN-PROJECT-VNI-NSW</t>
        </is>
      </c>
      <c r="C387" s="4" t="inlineStr">
        <is>
          <t>VNN-AO-2026-N5-BASE</t>
        </is>
      </c>
      <c r="D387" s="4" t="inlineStr">
        <is>
          <t>capacity</t>
        </is>
      </c>
      <c r="E387" s="4" t="inlineStr">
        <is>
          <t>2026-06</t>
        </is>
      </c>
      <c r="F387" s="4" t="inlineStr">
        <is>
          <t>AEMO 2026 additional network capacity, REZ N5</t>
        </is>
      </c>
      <c r="G387" s="4" t="n">
        <v>600</v>
      </c>
      <c r="H387" s="4" t="inlineStr">
        <is>
          <t>MW</t>
        </is>
      </c>
      <c r="I387" s="4" t="n"/>
      <c r="J387" s="4" t="n"/>
      <c r="K387" s="4" t="inlineStr">
        <is>
          <t>Not stated</t>
        </is>
      </c>
      <c r="L387" s="4" t="inlineStr">
        <is>
          <t>planner estimate / actionable NSW project</t>
        </is>
      </c>
      <c r="M387" s="4" t="inlineStr">
        <is>
          <t>REZ N5 additional network capacity for the South West NSW REZ Stage 1 scope, base configuration</t>
        </is>
      </c>
      <c r="N387" s="4" t="inlineStr">
        <is>
          <t>Base REZ figure; the bracketed +1,800 MW is conditional on the third transformer and is recorded separately.</t>
        </is>
      </c>
      <c r="O387" s="4" t="inlineStr">
        <is>
          <t>HUM-AEMO-2026-ISP-A5</t>
        </is>
      </c>
      <c r="P387" s="4" t="inlineStr">
        <is>
          <t>52</t>
        </is>
      </c>
      <c r="Q387" s="4" t="inlineStr">
        <is>
          <t>N5: 600 (+1,800105)</t>
        </is>
      </c>
      <c r="R387" s="4" t="inlineStr"/>
      <c r="S387" s="4" t="inlineStr">
        <is>
          <t>Superscript 105 is the footnote marker retained by the text derivative.</t>
        </is>
      </c>
    </row>
    <row r="388">
      <c r="A388" s="4" t="inlineStr">
        <is>
          <t>VNI West (South West NSW REZ component)</t>
        </is>
      </c>
      <c r="B388" s="4" t="inlineStr">
        <is>
          <t>VNN-PROJECT-VNI-NSW</t>
        </is>
      </c>
      <c r="C388" s="4" t="inlineStr">
        <is>
          <t>VNN-AO-2026-REZ-1800</t>
        </is>
      </c>
      <c r="D388" s="4" t="inlineStr">
        <is>
          <t>capacity</t>
        </is>
      </c>
      <c r="E388" s="4" t="inlineStr">
        <is>
          <t>2026-06</t>
        </is>
      </c>
      <c r="F388" s="4" t="inlineStr">
        <is>
          <t>AEMO 2026 REZ transfer expansion from Dinawan with a third transformer</t>
        </is>
      </c>
      <c r="G388" s="4" t="n">
        <v>1800</v>
      </c>
      <c r="H388" s="4" t="inlineStr">
        <is>
          <t>MW</t>
        </is>
      </c>
      <c r="I388" s="4" t="n"/>
      <c r="J388" s="4" t="n"/>
      <c r="K388" s="4" t="inlineStr">
        <is>
          <t>Associated increment modelled at Class 5b ±50%</t>
        </is>
      </c>
      <c r="L388" s="4" t="inlineStr">
        <is>
          <t>conditional increment / separately modelled</t>
        </is>
      </c>
      <c r="M388" s="4" t="inlineStr">
        <is>
          <t>Expansion of REZ transfer capacity from Dinawan enabled by the third Dinawan transformer (N5 Option 2)</t>
        </is>
      </c>
      <c r="N388" s="4" t="inlineStr">
        <is>
          <t>Conditional on N5 Option 2; not the NSW component's base capacity and not an interconnector transfer figure.</t>
        </is>
      </c>
      <c r="O388" s="4" t="inlineStr">
        <is>
          <t>HUM-AEMO-2026-ISP-A5</t>
        </is>
      </c>
      <c r="P388" s="4" t="inlineStr">
        <is>
          <t>52</t>
        </is>
      </c>
      <c r="Q388" s="4" t="inlineStr">
        <is>
          <t>expand the REZ transfer capacity from Dinawan by 1,800 MW, based on advice from Transgrid and EnergyCo.</t>
        </is>
      </c>
      <c r="R388" s="4" t="inlineStr">
        <is>
          <t>selected</t>
        </is>
      </c>
      <c r="S388" s="4" t="inlineStr">
        <is>
          <t>Based on advice from Transgrid and EnergyCo.</t>
        </is>
      </c>
    </row>
    <row r="389">
      <c r="A389" s="4" t="inlineStr">
        <is>
          <t>VNI West (South West NSW REZ component)</t>
        </is>
      </c>
      <c r="B389" s="4" t="inlineStr">
        <is>
          <t>VNN-PROJECT-VNI-NSW</t>
        </is>
      </c>
      <c r="C389" s="4" t="inlineStr">
        <is>
          <t>VNN-AO-2026-VICNSW-FORWARD</t>
        </is>
      </c>
      <c r="D389" s="4" t="inlineStr">
        <is>
          <t>capacity</t>
        </is>
      </c>
      <c r="E389" s="4" t="inlineStr">
        <is>
          <t>2026-06</t>
        </is>
      </c>
      <c r="F389" s="4" t="inlineStr">
        <is>
          <t>AEMO 2026 VIC-NSW Stage 2 forward transfer capacity</t>
        </is>
      </c>
      <c r="G389" s="4" t="n">
        <v>1890</v>
      </c>
      <c r="H389" s="4" t="inlineStr">
        <is>
          <t>MW</t>
        </is>
      </c>
      <c r="I389" s="4" t="n"/>
      <c r="J389" s="4" t="n"/>
      <c r="K389" s="4" t="inlineStr">
        <is>
          <t>Not stated</t>
        </is>
      </c>
      <c r="L389" s="4" t="inlineStr">
        <is>
          <t>planner estimate / actionable ISP project</t>
        </is>
      </c>
      <c r="M389" s="4" t="inlineStr">
        <is>
          <t>Whole VIC-NSW interconnector Stage 2 (Bulgana - Kerang - Dinawan), forward direction</t>
        </is>
      </c>
      <c r="N389" s="4" t="inlineStr">
        <is>
          <t>Interconnector boundary, not the NSW REZ component.</t>
        </is>
      </c>
      <c r="O389" s="4" t="inlineStr">
        <is>
          <t>HUM-AEMO-2026-ISP-A5</t>
        </is>
      </c>
      <c r="P389" s="4" t="inlineStr">
        <is>
          <t>53</t>
        </is>
      </c>
      <c r="Q389" s="4" t="inlineStr">
        <is>
          <t>Forward: 1,890</t>
        </is>
      </c>
      <c r="R389" s="4" t="inlineStr"/>
      <c r="S389" s="4" t="inlineStr"/>
    </row>
    <row r="390">
      <c r="A390" s="4" t="inlineStr">
        <is>
          <t>VNI West (South West NSW REZ component)</t>
        </is>
      </c>
      <c r="B390" s="4" t="inlineStr">
        <is>
          <t>VNN-PROJECT-VNI-NSW</t>
        </is>
      </c>
      <c r="C390" s="4" t="inlineStr">
        <is>
          <t>VNN-AO-2026-VICNSW-REVERSE</t>
        </is>
      </c>
      <c r="D390" s="4" t="inlineStr">
        <is>
          <t>capacity</t>
        </is>
      </c>
      <c r="E390" s="4" t="inlineStr">
        <is>
          <t>2026-06</t>
        </is>
      </c>
      <c r="F390" s="4" t="inlineStr">
        <is>
          <t>AEMO 2026 VIC-NSW Stage 2 reverse transfer capacity</t>
        </is>
      </c>
      <c r="G390" s="4" t="n">
        <v>1670</v>
      </c>
      <c r="H390" s="4" t="inlineStr">
        <is>
          <t>MW</t>
        </is>
      </c>
      <c r="I390" s="4" t="n"/>
      <c r="J390" s="4" t="n"/>
      <c r="K390" s="4" t="inlineStr">
        <is>
          <t>Not stated</t>
        </is>
      </c>
      <c r="L390" s="4" t="inlineStr">
        <is>
          <t>planner estimate / actionable ISP project</t>
        </is>
      </c>
      <c r="M390" s="4" t="inlineStr">
        <is>
          <t>Whole VIC-NSW interconnector Stage 2, reverse direction</t>
        </is>
      </c>
      <c r="N390" s="4" t="inlineStr">
        <is>
          <t>Interconnector boundary, not the NSW REZ component.</t>
        </is>
      </c>
      <c r="O390" s="4" t="inlineStr">
        <is>
          <t>HUM-AEMO-2026-ISP-A5</t>
        </is>
      </c>
      <c r="P390" s="4" t="inlineStr">
        <is>
          <t>53</t>
        </is>
      </c>
      <c r="Q390" s="4" t="inlineStr">
        <is>
          <t>Reverse: 1,670</t>
        </is>
      </c>
      <c r="R390" s="4" t="inlineStr"/>
      <c r="S390" s="4" t="inlineStr"/>
    </row>
    <row r="391">
      <c r="A391" s="4" t="inlineStr">
        <is>
          <t>VNI West (South West NSW REZ component)</t>
        </is>
      </c>
      <c r="B391" s="4" t="inlineStr">
        <is>
          <t>VNN-PROJECT-VNI-NSW</t>
        </is>
      </c>
      <c r="C391" s="4" t="inlineStr">
        <is>
          <t>VNN-AO-2024-N5-900</t>
        </is>
      </c>
      <c r="D391" s="4" t="inlineStr">
        <is>
          <t>capacity</t>
        </is>
      </c>
      <c r="E391" s="4" t="inlineStr">
        <is>
          <t>2024-06</t>
        </is>
      </c>
      <c r="F391" s="4" t="inlineStr">
        <is>
          <t>AEMO 2024 additional network capacity, REZ N5</t>
        </is>
      </c>
      <c r="G391" s="4" t="n">
        <v>900</v>
      </c>
      <c r="H391" s="4" t="inlineStr">
        <is>
          <t>MW</t>
        </is>
      </c>
      <c r="I391" s="4" t="n"/>
      <c r="J391" s="4" t="n"/>
      <c r="K391" s="4" t="inlineStr">
        <is>
          <t>Not stated</t>
        </is>
      </c>
      <c r="L391" s="4" t="inlineStr">
        <is>
          <t>planner estimate / actionable ISP project</t>
        </is>
      </c>
      <c r="M391" s="4" t="inlineStr">
        <is>
          <t>REZ N5 additional network capacity under the 2024 whole VNI West Option 1</t>
        </is>
      </c>
      <c r="N391" s="4" t="inlineStr">
        <is>
          <t>Different option and scope from the 2026 N5 figure; not a revision series.</t>
        </is>
      </c>
      <c r="O391" s="4" t="inlineStr">
        <is>
          <t>HUM-AEMO-2024-ISP-A5</t>
        </is>
      </c>
      <c r="P391" s="4" t="inlineStr">
        <is>
          <t>45</t>
        </is>
      </c>
      <c r="Q391" s="4" t="inlineStr">
        <is>
          <t>N5: 900 MW</t>
        </is>
      </c>
      <c r="R391" s="4" t="inlineStr"/>
      <c r="S391" s="4" t="inlineStr"/>
    </row>
    <row r="392">
      <c r="A392" s="4" t="inlineStr">
        <is>
          <t>VNI West (South West NSW REZ component)</t>
        </is>
      </c>
      <c r="B392" s="4" t="inlineStr">
        <is>
          <t>VNN-PROJECT-VNI-NSW</t>
        </is>
      </c>
      <c r="C392" s="4" t="inlineStr">
        <is>
          <t>VNN-AO-2020-SWNSW-REZ-1000</t>
        </is>
      </c>
      <c r="D392" s="4" t="inlineStr">
        <is>
          <t>capacity</t>
        </is>
      </c>
      <c r="E392" s="4" t="inlineStr">
        <is>
          <t>2020-07</t>
        </is>
      </c>
      <c r="F392" s="4" t="inlineStr">
        <is>
          <t>AEMO 2020 additional REZ hosting capacity, South West NSW (Kerang route)</t>
        </is>
      </c>
      <c r="G392" s="4" t="n">
        <v>1000</v>
      </c>
      <c r="H392" s="4" t="inlineStr">
        <is>
          <t>MW</t>
        </is>
      </c>
      <c r="I392" s="4" t="n"/>
      <c r="J392" s="4" t="n"/>
      <c r="K392" s="4" t="inlineStr">
        <is>
          <t>Approximate network capability improvement</t>
        </is>
      </c>
      <c r="L392" s="4" t="inlineStr">
        <is>
          <t>historical ISP candidate option</t>
        </is>
      </c>
      <c r="M392" s="4" t="inlineStr">
        <is>
          <t>VNI West (Kerang route) candidate option, South West NSW REZ hosting capacity</t>
        </is>
      </c>
      <c r="N392" s="4" t="inlineStr">
        <is>
          <t>Historical candidate option on a superseded configuration; not comparable with the 2026 N5 figures.</t>
        </is>
      </c>
      <c r="O392" s="4" t="inlineStr">
        <is>
          <t>HUM-AEMO-2020-ISP-A3</t>
        </is>
      </c>
      <c r="P392" s="4" t="inlineStr">
        <is>
          <t>36</t>
        </is>
      </c>
      <c r="Q392" s="4" t="inlineStr">
        <is>
          <t>Additional REZ hosting capacity South West NSW: +1,000 MW</t>
        </is>
      </c>
      <c r="R392" s="4" t="inlineStr"/>
      <c r="S392" s="4" t="inlineStr"/>
    </row>
    <row r="393">
      <c r="A393" s="4" t="inlineStr">
        <is>
          <t>VNI West (South West NSW REZ component)</t>
        </is>
      </c>
      <c r="B393" s="4" t="inlineStr">
        <is>
          <t>VNN-PROJECT-VNI-NSW</t>
        </is>
      </c>
      <c r="C393" s="4" t="inlineStr">
        <is>
          <t>VNN-AO-2020-TRANSFER-NORTH</t>
        </is>
      </c>
      <c r="D393" s="4" t="inlineStr">
        <is>
          <t>capacity</t>
        </is>
      </c>
      <c r="E393" s="4" t="inlineStr">
        <is>
          <t>2020-07</t>
        </is>
      </c>
      <c r="F393" s="4" t="inlineStr">
        <is>
          <t>AEMO 2020 VIC-NSW transfer increase, northward (Kerang route)</t>
        </is>
      </c>
      <c r="G393" s="4" t="n">
        <v>1930</v>
      </c>
      <c r="H393" s="4" t="inlineStr">
        <is>
          <t>MW</t>
        </is>
      </c>
      <c r="I393" s="4" t="n"/>
      <c r="J393" s="4" t="n"/>
      <c r="K393" s="4" t="inlineStr">
        <is>
          <t>Approximate, calculated with VNI Minor already in service</t>
        </is>
      </c>
      <c r="L393" s="4" t="inlineStr">
        <is>
          <t>historical ISP candidate option</t>
        </is>
      </c>
      <c r="M393" s="4" t="inlineStr">
        <is>
          <t>Whole VNI West (Kerang route) candidate option, VIC-NSW transfer at time of peak demand</t>
        </is>
      </c>
      <c r="N393" s="4" t="inlineStr">
        <is>
          <t>Historical whole-interconnector figure; superseded by the 2026 Stage 2 forward/reverse figures.</t>
        </is>
      </c>
      <c r="O393" s="4" t="inlineStr">
        <is>
          <t>HUM-AEMO-2020-ISP-A3</t>
        </is>
      </c>
      <c r="P393" s="4" t="inlineStr">
        <is>
          <t>35</t>
        </is>
      </c>
      <c r="Q393" s="4" t="inlineStr">
        <is>
          <t>Increase in VIC-NSW transfer (at time of peak demand) A +1,930MW North</t>
        </is>
      </c>
      <c r="R393" s="4" t="inlineStr"/>
      <c r="S393" s="4" t="inlineStr"/>
    </row>
    <row r="394">
      <c r="A394" s="4" t="inlineStr">
        <is>
          <t>VNI West (South West NSW REZ component)</t>
        </is>
      </c>
      <c r="B394" s="4" t="inlineStr">
        <is>
          <t>VNN-PROJECT-VNI-NSW</t>
        </is>
      </c>
      <c r="C394" s="4" t="inlineStr">
        <is>
          <t>VNN-AO-2020-TRANSFER-SOUTH</t>
        </is>
      </c>
      <c r="D394" s="4" t="inlineStr">
        <is>
          <t>capacity</t>
        </is>
      </c>
      <c r="E394" s="4" t="inlineStr">
        <is>
          <t>2020-07</t>
        </is>
      </c>
      <c r="F394" s="4" t="inlineStr">
        <is>
          <t>AEMO 2020 VIC-NSW transfer increase, southward (Kerang route)</t>
        </is>
      </c>
      <c r="G394" s="4" t="n">
        <v>1800</v>
      </c>
      <c r="H394" s="4" t="inlineStr">
        <is>
          <t>MW</t>
        </is>
      </c>
      <c r="I394" s="4" t="n"/>
      <c r="J394" s="4" t="n"/>
      <c r="K394" s="4" t="inlineStr">
        <is>
          <t>Approximate, calculated with VNI Minor already in service</t>
        </is>
      </c>
      <c r="L394" s="4" t="inlineStr">
        <is>
          <t>historical ISP candidate option</t>
        </is>
      </c>
      <c r="M394" s="4" t="inlineStr">
        <is>
          <t>Whole VNI West (Kerang route) candidate option, VIC-NSW transfer at time of peak demand</t>
        </is>
      </c>
      <c r="N394" s="4" t="inlineStr">
        <is>
          <t>Coincides numerically with the chart's 1.8 GW but is a 2020 whole-interconnector transfer figure, not the 2026 REZ increment.</t>
        </is>
      </c>
      <c r="O394" s="4" t="inlineStr">
        <is>
          <t>HUM-AEMO-2020-ISP-A3</t>
        </is>
      </c>
      <c r="P394" s="4" t="inlineStr">
        <is>
          <t>35</t>
        </is>
      </c>
      <c r="Q394" s="4" t="inlineStr">
        <is>
          <t>+1,800 MW South</t>
        </is>
      </c>
      <c r="R394" s="4" t="inlineStr"/>
      <c r="S394" s="4" t="inlineStr">
        <is>
          <t>The identical figure appears for the Shepparton route option on p33-34.</t>
        </is>
      </c>
    </row>
    <row r="395">
      <c r="A395" s="4" t="inlineStr">
        <is>
          <t>VNI West (South West NSW REZ component)</t>
        </is>
      </c>
      <c r="B395" s="4" t="inlineStr">
        <is>
          <t>VNN-PROJECT-VNI-NSW</t>
        </is>
      </c>
      <c r="C395" s="4" t="inlineStr">
        <is>
          <t>VNN-AO-2026-TRF-3X1500</t>
        </is>
      </c>
      <c r="D395" s="4" t="inlineStr">
        <is>
          <t>transformers_mva</t>
        </is>
      </c>
      <c r="E395" s="4" t="inlineStr">
        <is>
          <t>2026-06</t>
        </is>
      </c>
      <c r="F395" s="4" t="inlineStr">
        <is>
          <t>AEMO 2026 Dinawan switchyard transformers (three units)</t>
        </is>
      </c>
      <c r="G395" s="4" t="n">
        <v>1500</v>
      </c>
      <c r="H395" s="4" t="inlineStr">
        <is>
          <t>MVA</t>
        </is>
      </c>
      <c r="I395" s="4" t="n"/>
      <c r="J395" s="4" t="n"/>
      <c r="K395" s="4" t="inlineStr">
        <is>
          <t>Not stated</t>
        </is>
      </c>
      <c r="L395" s="4" t="inlineStr">
        <is>
          <t>scope description / actionable NSW project</t>
        </is>
      </c>
      <c r="M395" s="4" t="inlineStr">
        <is>
          <t>Per-unit rating of three 500/330 kV transformers in the South West NSW REZ N5 Option 1 / Option 2 Stage 1 scope</t>
        </is>
      </c>
      <c r="N395" s="4" t="inlineStr">
        <is>
          <t>Unit rating and count as stated; the source does not publish a summed MVA. The $7,600m cost includes two transformers only.</t>
        </is>
      </c>
      <c r="O395" s="4" t="inlineStr">
        <is>
          <t>HUM-AEMO-2026-ISP-A5</t>
        </is>
      </c>
      <c r="P395" s="4" t="inlineStr">
        <is>
          <t>52</t>
        </is>
      </c>
      <c r="Q395" s="4" t="inlineStr">
        <is>
          <t>Establish Dinawan 500 kV switchyard with three103 500/330 kV 1,500 MVA transformers.</t>
        </is>
      </c>
      <c r="R395" s="4" t="inlineStr">
        <is>
          <t>selected</t>
        </is>
      </c>
      <c r="S395" s="4" t="inlineStr">
        <is>
          <t>Superscript 103 is the footnote marker retained by the text derivative.</t>
        </is>
      </c>
    </row>
    <row r="396">
      <c r="A396" s="4" t="inlineStr">
        <is>
          <t>VNI West (South West NSW REZ component)</t>
        </is>
      </c>
      <c r="B396" s="4" t="inlineStr">
        <is>
          <t>VNN-PROJECT-VNI-NSW</t>
        </is>
      </c>
      <c r="C396" s="4" t="inlineStr">
        <is>
          <t>VNN-AO-2024-TRF-2X1500</t>
        </is>
      </c>
      <c r="D396" s="4" t="inlineStr">
        <is>
          <t>transformers_mva</t>
        </is>
      </c>
      <c r="E396" s="4" t="inlineStr">
        <is>
          <t>2024-06</t>
        </is>
      </c>
      <c r="F396" s="4" t="inlineStr">
        <is>
          <t>AEMO 2024 Dinawan switchyard transformers (two units)</t>
        </is>
      </c>
      <c r="G396" s="4" t="n">
        <v>1500</v>
      </c>
      <c r="H396" s="4" t="inlineStr">
        <is>
          <t>MVA</t>
        </is>
      </c>
      <c r="I396" s="4" t="n"/>
      <c r="J396" s="4" t="n"/>
      <c r="K396" s="4" t="inlineStr">
        <is>
          <t>Not stated</t>
        </is>
      </c>
      <c r="L396" s="4" t="inlineStr">
        <is>
          <t>scope description / actionable ISP project</t>
        </is>
      </c>
      <c r="M396" s="4" t="inlineStr">
        <is>
          <t>Per-unit rating of two 500/330 kV transformers in the 2024 VNI West Option 1 scope</t>
        </is>
      </c>
      <c r="N396" s="4" t="inlineStr">
        <is>
          <t>Earlier scope with two units; the third unit appears only as the separately modelled 2026 N5 Option 2 increment.</t>
        </is>
      </c>
      <c r="O396" s="4" t="inlineStr">
        <is>
          <t>HUM-AEMO-2024-ISP-A5</t>
        </is>
      </c>
      <c r="P396" s="4" t="inlineStr">
        <is>
          <t>45</t>
        </is>
      </c>
      <c r="Q396" s="4" t="inlineStr">
        <is>
          <t>Establish Dinawan 500 kV switchyard with two 500/330 kV 1,500 MVA</t>
        </is>
      </c>
      <c r="R396" s="4" t="inlineStr"/>
      <c r="S396" s="4" t="inlineStr"/>
    </row>
    <row r="397">
      <c r="A397" s="4" t="inlineStr">
        <is>
          <t>VNI West (South West NSW REZ component)</t>
        </is>
      </c>
      <c r="B397" s="4" t="inlineStr">
        <is>
          <t>VNN-PROJECT-VNI-NSW</t>
        </is>
      </c>
      <c r="C397" s="4" t="inlineStr">
        <is>
          <t>VNN-AO-2026-CIRCUITS-DC</t>
        </is>
      </c>
      <c r="D397" s="4" t="inlineStr">
        <is>
          <t>circuits</t>
        </is>
      </c>
      <c r="E397" s="4" t="inlineStr">
        <is>
          <t>2026-06</t>
        </is>
      </c>
      <c r="F397" s="4" t="inlineStr">
        <is>
          <t>AEMO 2026 NSW component line scope: double-circuit upgrade and Wagga bypass</t>
        </is>
      </c>
      <c r="G397" s="4" t="n">
        <v>2</v>
      </c>
      <c r="H397" s="4" t="inlineStr">
        <is>
          <t>count</t>
        </is>
      </c>
      <c r="I397" s="4" t="n"/>
      <c r="J397" s="4" t="n"/>
      <c r="K397" s="4" t="inlineStr">
        <is>
          <t>Not stated</t>
        </is>
      </c>
      <c r="L397" s="4" t="inlineStr">
        <is>
          <t>scope description / actionable NSW project</t>
        </is>
      </c>
      <c r="M397" s="4" t="inlineStr">
        <is>
          <t>Existing Dinawan - Wagga Wagga - Gugaa double-circuit line, upgraded from 330 kV to 500 kV operation with a Wagga Wagga bypass</t>
        </is>
      </c>
      <c r="N397" s="4" t="inlineStr">
        <is>
          <t>Circuits are uprated existing circuits built at 500 kV under Project EnergyConnect and HumeLink, not new VNI West circuits.</t>
        </is>
      </c>
      <c r="O397" s="4" t="inlineStr">
        <is>
          <t>HUM-AEMO-2026-ISP-A5</t>
        </is>
      </c>
      <c r="P397" s="4" t="inlineStr">
        <is>
          <t>52</t>
        </is>
      </c>
      <c r="Q397" s="4" t="inlineStr">
        <is>
          <t>Upgrade Dinawan – Wagga Wagga – Gugaa double-circuit line from 330 kV to 500 kV</t>
        </is>
      </c>
      <c r="R397" s="4" t="inlineStr">
        <is>
          <t>selected</t>
        </is>
      </c>
      <c r="S397" s="4" t="inlineStr">
        <is>
          <t>Used as the sourced basis for both the circuits and lines chart cells.</t>
        </is>
      </c>
    </row>
    <row r="398">
      <c r="A398" s="4" t="inlineStr">
        <is>
          <t>VNI West (South West NSW REZ component)</t>
        </is>
      </c>
      <c r="B398" s="4" t="inlineStr">
        <is>
          <t>VNN-PROJECT-VNI-NSW</t>
        </is>
      </c>
      <c r="C398" s="4" t="inlineStr">
        <is>
          <t>VNN-AO-2026-VOLTAGE-500</t>
        </is>
      </c>
      <c r="D398" s="4" t="inlineStr">
        <is>
          <t>voltage</t>
        </is>
      </c>
      <c r="E398" s="4" t="inlineStr">
        <is>
          <t>2026-06</t>
        </is>
      </c>
      <c r="F398" s="4" t="inlineStr">
        <is>
          <t>AEMO 2026 VNI West trunk voltage</t>
        </is>
      </c>
      <c r="G398" s="4" t="n">
        <v>500</v>
      </c>
      <c r="H398" s="4" t="inlineStr">
        <is>
          <t>kV</t>
        </is>
      </c>
      <c r="I398" s="4" t="n"/>
      <c r="J398" s="4" t="n"/>
      <c r="K398" s="4" t="inlineStr">
        <is>
          <t>Not stated</t>
        </is>
      </c>
      <c r="L398" s="4" t="inlineStr">
        <is>
          <t>scope description</t>
        </is>
      </c>
      <c r="M398" s="4" t="inlineStr">
        <is>
          <t>Whole VNI West interconnector from near Bulgana to Dinawan</t>
        </is>
      </c>
      <c r="N398" s="4" t="inlineStr">
        <is>
          <t>Whole-project voltage; the NSW component upgrades existing 330 kV operation to 500 kV.</t>
        </is>
      </c>
      <c r="O398" s="4" t="inlineStr">
        <is>
          <t>HUM-AEMO-2026-ISP-A5</t>
        </is>
      </c>
      <c r="P398" s="4" t="inlineStr">
        <is>
          <t>51</t>
        </is>
      </c>
      <c r="Q398" s="4" t="inlineStr">
        <is>
          <t>VNI West is a proposed 500 kV interconnector from near Bulgana in Victoria to Dinawan in south-west New South Wales.</t>
        </is>
      </c>
      <c r="R398" s="4" t="inlineStr"/>
      <c r="S398" s="4" t="inlineStr"/>
    </row>
    <row r="399">
      <c r="A399" s="4" t="inlineStr">
        <is>
          <t>VNI West (South West NSW REZ component)</t>
        </is>
      </c>
      <c r="B399" s="4" t="inlineStr">
        <is>
          <t>VNN-PROJECT-VNI-NSW</t>
        </is>
      </c>
      <c r="C399" s="4" t="inlineStr">
        <is>
          <t>VNN-AO-2026-TIMING-SWNSW</t>
        </is>
      </c>
      <c r="D399" s="4" t="inlineStr">
        <is>
          <t>completion</t>
        </is>
      </c>
      <c r="E399" s="4" t="inlineStr">
        <is>
          <t>2026-06</t>
        </is>
      </c>
      <c r="F399" s="4" t="inlineStr">
        <is>
          <t>AEMO 2026 proponent timing, South West NSW REZ component</t>
        </is>
      </c>
      <c r="G399" s="4" t="inlineStr">
        <is>
          <t>2029-08</t>
        </is>
      </c>
      <c r="H399" s="4" t="inlineStr">
        <is>
          <t>date</t>
        </is>
      </c>
      <c r="I399" s="4" t="n"/>
      <c r="J399" s="4" t="n"/>
      <c r="K399" s="4" t="inlineStr">
        <is>
          <t>Proponent advice; supersedes AEMO's earlier June 2030 assumption</t>
        </is>
      </c>
      <c r="L399" s="4" t="inlineStr">
        <is>
          <t>timing advised by proponent</t>
        </is>
      </c>
      <c r="M399" s="4" t="inlineStr">
        <is>
          <t>South West NSW REZ component of VNI West</t>
        </is>
      </c>
      <c r="N399" s="4" t="inlineStr">
        <is>
          <t>Component-level timing; the 2026 ISP nonetheless finds integrated delivery more efficient than staging this component ahead of the interconnector.</t>
        </is>
      </c>
      <c r="O399" s="4" t="inlineStr">
        <is>
          <t>HUM-AEMO-2026-ISP-A5</t>
        </is>
      </c>
      <c r="P399" s="4" t="inlineStr">
        <is>
          <t>52</t>
        </is>
      </c>
      <c r="Q399" s="4" t="inlineStr">
        <is>
          <t>component is now August 2029.</t>
        </is>
      </c>
      <c r="R399" s="4" t="inlineStr"/>
      <c r="S399" s="4" t="inlineStr">
        <is>
          <t>AEMO had assumed an earliest in-service date of June 2030 per Transgrid advice for the 2025 Electricity Network Options Report.</t>
        </is>
      </c>
    </row>
    <row r="400">
      <c r="A400" s="4" t="inlineStr">
        <is>
          <t>VNI West (South West NSW REZ component)</t>
        </is>
      </c>
      <c r="B400" s="4" t="inlineStr">
        <is>
          <t>VNN-PROJECT-VNI-NSW</t>
        </is>
      </c>
      <c r="C400" s="4" t="inlineStr">
        <is>
          <t>VNN-AO-2026-TIMING-VICNSW</t>
        </is>
      </c>
      <c r="D400" s="4" t="inlineStr">
        <is>
          <t>completion</t>
        </is>
      </c>
      <c r="E400" s="4" t="inlineStr">
        <is>
          <t>2026-06</t>
        </is>
      </c>
      <c r="F400" s="4" t="inlineStr">
        <is>
          <t>AEMO 2026 proponent timing, VIC-NSW interconnector Stage 2</t>
        </is>
      </c>
      <c r="G400" s="4" t="inlineStr">
        <is>
          <t>2031-11</t>
        </is>
      </c>
      <c r="H400" s="4" t="inlineStr">
        <is>
          <t>date</t>
        </is>
      </c>
      <c r="I400" s="4" t="n"/>
      <c r="J400" s="4" t="n"/>
      <c r="K400" s="4" t="inlineStr">
        <is>
          <t>Proponent advice</t>
        </is>
      </c>
      <c r="L400" s="4" t="inlineStr">
        <is>
          <t>timing advised by proponent</t>
        </is>
      </c>
      <c r="M400" s="4" t="inlineStr">
        <is>
          <t>Whole VIC-NSW interconnector Stage 2 (Bulgana - Kerang - Dinawan)</t>
        </is>
      </c>
      <c r="N400" s="4" t="inlineStr">
        <is>
          <t>Whole-interconnector timing; not the NSW component date.</t>
        </is>
      </c>
      <c r="O400" s="4" t="inlineStr">
        <is>
          <t>HUM-AEMO-2026-ISP-A5</t>
        </is>
      </c>
      <c r="P400" s="4" t="inlineStr">
        <is>
          <t>53</t>
        </is>
      </c>
      <c r="Q400" s="4" t="inlineStr">
        <is>
          <t>VIC-NSW: November 2031.</t>
        </is>
      </c>
      <c r="R400" s="4" t="inlineStr">
        <is>
          <t>selected</t>
        </is>
      </c>
      <c r="S400" s="4" t="inlineStr"/>
    </row>
    <row r="401">
      <c r="A401" s="4" t="inlineStr">
        <is>
          <t>VNI West (South West NSW REZ component)</t>
        </is>
      </c>
      <c r="B401" s="4" t="inlineStr">
        <is>
          <t>VNN-PROJECT-VNI-NSW</t>
        </is>
      </c>
      <c r="C401" s="4" t="inlineStr">
        <is>
          <t>VNN-AO-2024-TIMING-PACR</t>
        </is>
      </c>
      <c r="D401" s="4" t="inlineStr">
        <is>
          <t>completion</t>
        </is>
      </c>
      <c r="E401" s="4" t="inlineStr">
        <is>
          <t>2024-06</t>
        </is>
      </c>
      <c r="F401" s="4" t="inlineStr">
        <is>
          <t>AEMO 2024 report of the PACR capacity release date</t>
        </is>
      </c>
      <c r="G401" s="4" t="inlineStr">
        <is>
          <t>2029-12</t>
        </is>
      </c>
      <c r="H401" s="4" t="inlineStr">
        <is>
          <t>date</t>
        </is>
      </c>
      <c r="I401" s="4" t="n"/>
      <c r="J401" s="4" t="n"/>
      <c r="K401" s="4" t="inlineStr">
        <is>
          <t>As identified in the RIT-T PACR</t>
        </is>
      </c>
      <c r="L401" s="4" t="inlineStr">
        <is>
          <t>reported proponent date, primary PACR not held in this family</t>
        </is>
      </c>
      <c r="M401" s="4" t="inlineStr">
        <is>
          <t>Whole VNI West as assessed in the May 2023 RIT-T</t>
        </is>
      </c>
      <c r="N401" s="4" t="inlineStr">
        <is>
          <t>Superseded by the 2026 proponent dates; the underlying PACR is an ATE-14 joint record not archived in this family.</t>
        </is>
      </c>
      <c r="O401" s="4" t="inlineStr">
        <is>
          <t>HUM-AEMO-2024-ISP-A5</t>
        </is>
      </c>
      <c r="P401" s="4" t="inlineStr">
        <is>
          <t>44</t>
        </is>
      </c>
      <c r="Q401" s="4" t="inlineStr">
        <is>
          <t>release date identified in the PACR is December 2029.</t>
        </is>
      </c>
      <c r="R401" s="4" t="inlineStr"/>
      <c r="S401" s="4" t="inlineStr"/>
    </row>
    <row r="402">
      <c r="A402" s="4" t="inlineStr">
        <is>
          <t>VNI West (South West NSW REZ component)</t>
        </is>
      </c>
      <c r="B402" s="4" t="inlineStr">
        <is>
          <t>VNN-PROJECT-VNI-NSW</t>
        </is>
      </c>
      <c r="C402" s="4" t="inlineStr">
        <is>
          <t>VNN-AO-2024-AER-CPA-PROPOSED</t>
        </is>
      </c>
      <c r="D402" s="4" t="inlineStr">
        <is>
          <t>cost</t>
        </is>
      </c>
      <c r="E402" s="4" t="inlineStr">
        <is>
          <t>2023-12</t>
        </is>
      </c>
      <c r="F402" s="4" t="inlineStr">
        <is>
          <t>Transgrid's proposed Stage 1 early works capex, AER contingent project application</t>
        </is>
      </c>
      <c r="G402" s="4" t="n">
        <v>1096.3</v>
      </c>
      <c r="H402" s="4" t="inlineStr">
        <is>
          <t>AUD million</t>
        </is>
      </c>
      <c r="I402" s="4" t="inlineStr">
        <is>
          <t>$Real 2022-23</t>
        </is>
      </c>
      <c r="J402" s="4" t="n"/>
      <c r="K402" s="4" t="inlineStr">
        <is>
          <t>Not stated</t>
        </is>
      </c>
      <c r="L402" s="4" t="inlineStr">
        <is>
          <t>proponent-proposed capex / stage 1 early works contingent project application</t>
        </is>
      </c>
      <c r="M402" s="4" t="inlineStr">
        <is>
          <t>New South Wales portion of VNI West; Transgrid's December 2023 stage 1 early works CPA to the AER</t>
        </is>
      </c>
      <c r="N402" s="4" t="inlineStr">
        <is>
          <t>This is the only archived figure the AER expressly attributes to the NSW portion of VNI West; it is a partial (stage 1 early works) amount, not a whole-project cost, so it is not comparable with the chart's whole-interconnector-derived 3.7.</t>
        </is>
      </c>
      <c r="O402" s="4" t="inlineStr">
        <is>
          <t>VNN-AER-2024-CPADETERMINATION</t>
        </is>
      </c>
      <c r="P402" s="4" t="inlineStr">
        <is>
          <t>3</t>
        </is>
      </c>
      <c r="Q402" s="4" t="inlineStr">
        <is>
          <t>for $1,096.3 million ($Real 2022–23) in capital expenditure (capex).1 This application relates to the New South Wales portion of the project.</t>
        </is>
      </c>
      <c r="R402" s="4" t="inlineStr"/>
      <c r="S402" s="4" t="inlineStr">
        <is>
          <t>AER also states this $1,096.3 million represents 55% of the total expected costs for the NSW portion of costs (p.11); the implied NSW total is not computed here. AER separately reports the whole VNI West cost at $3,963.6 million with an approximately 50/50 NSW/Victoria split (see VNN-AO-2024-AER-VNIWEST-TOTAL).</t>
        </is>
      </c>
    </row>
    <row r="403">
      <c r="A403" s="4" t="inlineStr">
        <is>
          <t>VNI West (South West NSW REZ component)</t>
        </is>
      </c>
      <c r="B403" s="4" t="inlineStr">
        <is>
          <t>VNN-PROJECT-VNI-NSW</t>
        </is>
      </c>
      <c r="C403" s="4" t="inlineStr">
        <is>
          <t>VNN-AO-2024-AER-CPA-APPROVED</t>
        </is>
      </c>
      <c r="D403" s="4" t="inlineStr">
        <is>
          <t>cost</t>
        </is>
      </c>
      <c r="E403" s="4" t="inlineStr">
        <is>
          <t>2024-05</t>
        </is>
      </c>
      <c r="F403" s="4" t="inlineStr">
        <is>
          <t>AER-approved Stage 1 early works capex, VNI West NSW contingent project determination</t>
        </is>
      </c>
      <c r="G403" s="4" t="n">
        <v>948.8</v>
      </c>
      <c r="H403" s="4" t="inlineStr">
        <is>
          <t>AUD million</t>
        </is>
      </c>
      <c r="I403" s="4" t="inlineStr">
        <is>
          <t>$Real 2022-23</t>
        </is>
      </c>
      <c r="J403" s="4" t="n"/>
      <c r="K403" s="4" t="inlineStr">
        <is>
          <t>Not stated</t>
        </is>
      </c>
      <c r="L403" s="4" t="inlineStr">
        <is>
          <t>regulatory determination / approved capex, stage 1 early works contingent project</t>
        </is>
      </c>
      <c r="M403" s="4" t="inlineStr">
        <is>
          <t>New South Wales portion of VNI West; total capex ($2022-23) to be commissioned for VNI West stage 1 in years 2022-23 to 2025-26, as determined by the AER</t>
        </is>
      </c>
      <c r="N403" s="4" t="inlineStr">
        <is>
          <t>The only NSW-specific approved capex amount archived. It is $147.5 million (13.5%) lower than Transgrid's proposed $1,096.3 million, and covers stage 1 early works only, not the whole VNI West NSW component; not comparable with the chart's whole-interconnector-derived 3.7.</t>
        </is>
      </c>
      <c r="O403" s="4" t="inlineStr">
        <is>
          <t>VNN-AER-2024-CPADETERMINATION</t>
        </is>
      </c>
      <c r="P403" s="4" t="inlineStr">
        <is>
          <t>6</t>
        </is>
      </c>
      <c r="Q403" s="4" t="inlineStr">
        <is>
          <t>Total capex ($2022–23) to be commissioned for VNI West stage 1 in years 2022–23 to 2025–26 $1,096.3 million $948.8 million</t>
        </is>
      </c>
      <c r="R403" s="4" t="inlineStr"/>
      <c r="S403" s="4" t="inlineStr">
        <is>
          <t>AER: 'Our decision is to not accept Transgrid's proposed capex of $1,096.3 million and instead substitute an alternative estimate of $948.8 million to ensure consumers pay no more than necessary for progressing stage 1 of the project.' (p.7).</t>
        </is>
      </c>
    </row>
    <row r="404">
      <c r="A404" s="4" t="inlineStr">
        <is>
          <t>VNI West (South West NSW REZ component)</t>
        </is>
      </c>
      <c r="B404" s="4" t="inlineStr">
        <is>
          <t>VNN-PROJECT-VNI-NSW</t>
        </is>
      </c>
      <c r="C404" s="4" t="inlineStr">
        <is>
          <t>VNN-AO-2024-AER-VNIWEST-TOTAL</t>
        </is>
      </c>
      <c r="D404" s="4" t="inlineStr">
        <is>
          <t>cost</t>
        </is>
      </c>
      <c r="E404" s="4" t="inlineStr">
        <is>
          <t>2024-05</t>
        </is>
      </c>
      <c r="F404" s="4" t="inlineStr">
        <is>
          <t>AER-reported whole VNI West cost with approximate NSW/Victoria split</t>
        </is>
      </c>
      <c r="G404" s="4" t="n">
        <v>3963.6</v>
      </c>
      <c r="H404" s="4" t="inlineStr">
        <is>
          <t>AUD million</t>
        </is>
      </c>
      <c r="I404" s="4" t="inlineStr">
        <is>
          <t>$Real 2022-23</t>
        </is>
      </c>
      <c r="J404" s="4" t="n"/>
      <c r="K404" s="4" t="inlineStr">
        <is>
          <t>Not stated</t>
        </is>
      </c>
      <c r="L404" s="4" t="inlineStr">
        <is>
          <t>reported whole-project cost, cited by AER from AEMO's December 2023 feedback loop notice</t>
        </is>
      </c>
      <c r="M404" s="4" t="inlineStr">
        <is>
          <t>Whole VNI West interconnector, costs split about 50/50 between the Victorian component (TCV) and the NSW component (Transgrid)</t>
        </is>
      </c>
      <c r="N404" s="4" t="inlineStr">
        <is>
          <t>A distinct whole-project total from a third source (AER, citing AEMO's Dec 2023 feedback loop notice), on a different dollar basis ($Real 2022-23) from the 2024 ISP ($3,499m/$3,614m) and 2026 ISP ($7,600m) whole-project figures; not additive with any of them. The stated 50/50 split is a description, not a source-computed NSW dollar figure.</t>
        </is>
      </c>
      <c r="O404" s="4" t="inlineStr">
        <is>
          <t>VNN-AER-2024-CPADETERMINATION</t>
        </is>
      </c>
      <c r="P404" s="4" t="inlineStr">
        <is>
          <t>3</t>
        </is>
      </c>
      <c r="Q404" s="4" t="inlineStr">
        <is>
          <t>The total costs for VNI West are estimated at $3,963.6 million ($Real 2022–23),2 with the costs split about 50/50 between the Victorian component and the NSW component</t>
        </is>
      </c>
      <c r="R404" s="4" t="inlineStr"/>
      <c r="S404" s="4" t="inlineStr"/>
    </row>
    <row r="405">
      <c r="A405" s="4" t="inlineStr">
        <is>
          <t>VNI West (South West NSW REZ component)</t>
        </is>
      </c>
      <c r="B405" s="4" t="inlineStr">
        <is>
          <t>VNN-PROJECT-VNI-NSW</t>
        </is>
      </c>
      <c r="C405" s="4" t="inlineStr">
        <is>
          <t>VNN-AO-2023-PACR-OPTION5A-COST</t>
        </is>
      </c>
      <c r="D405" s="4" t="inlineStr">
        <is>
          <t>cost</t>
        </is>
      </c>
      <c r="E405" s="4" t="inlineStr">
        <is>
          <t>2023-05</t>
        </is>
      </c>
      <c r="F405" s="4" t="inlineStr">
        <is>
          <t>VNI West PACR capital cost, preferred Option 5A</t>
        </is>
      </c>
      <c r="G405" s="4" t="n">
        <v>3499</v>
      </c>
      <c r="H405" s="4" t="inlineStr">
        <is>
          <t>AUD million</t>
        </is>
      </c>
      <c r="I405" s="4" t="inlineStr">
        <is>
          <t>$m 2020-21</t>
        </is>
      </c>
      <c r="J405" s="4" t="n"/>
      <c r="K405" s="4" t="inlineStr">
        <is>
          <t>Not stated</t>
        </is>
      </c>
      <c r="L405" s="4" t="inlineStr">
        <is>
          <t>RIT-T PACR capital cost estimate, preferred option</t>
        </is>
      </c>
      <c r="M405" s="4" t="inlineStr">
        <is>
          <t>Whole VNI West interconnector, Option 5A (north of Kerang), as assessed in the May 2023 RIT-T PACR Table 1</t>
        </is>
      </c>
      <c r="N405" s="4" t="inlineStr">
        <is>
          <t>Primary-source restatement of the whole-interconnector capital cost figure AEMO later reported as $3,499m in the 2024 ISP (VNN-AO-2024-VNIWEST-3499); whole-project boundary, no NSW allocation stated.</t>
        </is>
      </c>
      <c r="O405" s="4" t="inlineStr">
        <is>
          <t>VNV-TRANSGRID-2023-PACR</t>
        </is>
      </c>
      <c r="P405" s="4" t="inlineStr">
        <is>
          <t>10</t>
        </is>
      </c>
      <c r="Q405" s="4" t="inlineStr">
        <is>
          <t>N5 – South West NSW: +900 MW +4,140 MW 3,499</t>
        </is>
      </c>
      <c r="R405" s="4" t="inlineStr"/>
      <c r="S405" s="4" t="inlineStr">
        <is>
          <t>Table 1 header: 'Capital cost* $m 2020-21'. The identical 3,499 figure also appears for the Option 5A westerly sensitivity row on the same page.</t>
        </is>
      </c>
    </row>
    <row r="406">
      <c r="A406" s="4" t="inlineStr">
        <is>
          <t>VNI West (South West NSW REZ component)</t>
        </is>
      </c>
      <c r="B406" s="4" t="inlineStr">
        <is>
          <t>VNN-PROJECT-VNI-NSW</t>
        </is>
      </c>
      <c r="C406" s="4" t="inlineStr">
        <is>
          <t>VNN-AO-2023-PACR-NSW-LENGTH-184</t>
        </is>
      </c>
      <c r="D406" s="4" t="inlineStr">
        <is>
          <t>trunk_km</t>
        </is>
      </c>
      <c r="E406" s="4" t="inlineStr">
        <is>
          <t>2023-05</t>
        </is>
      </c>
      <c r="F406" s="4" t="inlineStr">
        <is>
          <t>VNI West PACR assumed New South Wales portion line length</t>
        </is>
      </c>
      <c r="G406" s="4" t="n">
        <v>184</v>
      </c>
      <c r="H406" s="4" t="inlineStr">
        <is>
          <t>km</t>
        </is>
      </c>
      <c r="I406" s="4" t="n"/>
      <c r="J406" s="4" t="n"/>
      <c r="K406" s="4" t="inlineStr">
        <is>
          <t>An assumption for Strategic Benefits Payment Scheme cost estimation, not a stated engineered route length</t>
        </is>
      </c>
      <c r="L406" s="4" t="inlineStr">
        <is>
          <t>cost-estimating assumption, RIT-T PACR</t>
        </is>
      </c>
      <c r="M406" s="4" t="inlineStr">
        <is>
          <t>Option 5 (not the preferred option) NSW portion; PACR Table 6 p48 and the p116 payment-scheme assumption</t>
        </is>
      </c>
      <c r="N406" s="4" t="inlineStr">
        <is>
          <t>Superseded by Option 5A (203 km NSW); retained as a dated option comparison</t>
        </is>
      </c>
      <c r="O406" s="4" t="inlineStr">
        <is>
          <t>VNV-TRANSGRID-2023-PACR</t>
        </is>
      </c>
      <c r="P406" s="4" t="inlineStr">
        <is>
          <t>116</t>
        </is>
      </c>
      <c r="Q406" s="4" t="inlineStr">
        <is>
          <t>the total line length of the New South Wales portion has been assumed to be 184 km, of which 85% is assumed to be on private land.</t>
        </is>
      </c>
      <c r="R406" s="4" t="inlineStr"/>
      <c r="S406" s="4" t="inlineStr">
        <is>
          <t>Appears in PACR Appendix A5, Cost estimating methodology, Strategic payments subsection.</t>
        </is>
      </c>
    </row>
    <row r="407">
      <c r="A407" s="4" t="inlineStr">
        <is>
          <t>VNI West (South West NSW REZ component)</t>
        </is>
      </c>
      <c r="B407" s="4" t="inlineStr">
        <is>
          <t>VNN-PROJECT-VNI-NSW</t>
        </is>
      </c>
      <c r="C407" s="4" t="inlineStr">
        <is>
          <t>VNN-AO-2025-TG-EIS-EXHIBITED</t>
        </is>
      </c>
      <c r="D407" s="4" t="inlineStr">
        <is>
          <t>other</t>
        </is>
      </c>
      <c r="E407" s="4" t="inlineStr">
        <is>
          <t>2026</t>
        </is>
      </c>
      <c r="F407" s="4" t="inlineStr">
        <is>
          <t>Transgrid: EIS for the NSW section of VNI West placed on public exhibition</t>
        </is>
      </c>
      <c r="G407" s="4" t="inlineStr">
        <is>
          <t>2025-08</t>
        </is>
      </c>
      <c r="H407" s="4" t="inlineStr">
        <is>
          <t>date</t>
        </is>
      </c>
      <c r="I407" s="4" t="n"/>
      <c r="J407" s="4" t="n"/>
      <c r="K407" s="4" t="inlineStr">
        <is>
          <t>Not stated</t>
        </is>
      </c>
      <c r="L407" s="4" t="inlineStr">
        <is>
          <t>planning process milestone, proponent-stated</t>
        </is>
      </c>
      <c r="M407" s="4" t="inlineStr">
        <is>
          <t>New South Wales section of VNI West</t>
        </is>
      </c>
      <c r="N407" s="4" t="inlineStr">
        <is>
          <t>Planning-process milestone, not a cost or capacity figure; distinct from the ISP timing observations for completion/in-service dates.</t>
        </is>
      </c>
      <c r="O407" s="4" t="inlineStr">
        <is>
          <t>VNN-TG-2026-PROJECTPAGE</t>
        </is>
      </c>
      <c r="P407" s="4" t="inlineStr">
        <is>
          <t>captured HTML page; derivative line 176</t>
        </is>
      </c>
      <c r="Q407" s="4" t="inlineStr">
        <is>
          <t>The Environmental Impact Statement (EIS) for the NSW section of the VNI West project was placed on public exhibition in August 2025.</t>
        </is>
      </c>
      <c r="R407" s="4" t="inlineStr"/>
      <c r="S407" s="4" t="inlineStr">
        <is>
          <t>Page also states an Amendment Report and Submissions Report were subsequently prepared and lodged with NSW DPHI.</t>
        </is>
      </c>
    </row>
    <row r="408">
      <c r="A408" s="4" t="inlineStr">
        <is>
          <t>VNI West (South West NSW REZ component)</t>
        </is>
      </c>
      <c r="B408" s="4" t="inlineStr">
        <is>
          <t>VNN-PROJECT-VNI-NSW</t>
        </is>
      </c>
      <c r="C408" s="4" t="inlineStr">
        <is>
          <t>VNN-AO-2026-TG-APPROVAL-TIMING</t>
        </is>
      </c>
      <c r="D408" s="4" t="inlineStr">
        <is>
          <t>other</t>
        </is>
      </c>
      <c r="E408" s="4" t="inlineStr">
        <is>
          <t>2026</t>
        </is>
      </c>
      <c r="F408" s="4" t="inlineStr">
        <is>
          <t>Transgrid: anticipated NSW project approval decision timing</t>
        </is>
      </c>
      <c r="G408" s="4" t="inlineStr">
        <is>
          <t>late 2026</t>
        </is>
      </c>
      <c r="H408" s="4" t="inlineStr">
        <is>
          <t>date</t>
        </is>
      </c>
      <c r="I408" s="4" t="n"/>
      <c r="J408" s="4" t="n"/>
      <c r="K408" s="4" t="inlineStr">
        <is>
          <t>Anticipated timing, subject to NSW DPHI review and State/Commonwealth decision</t>
        </is>
      </c>
      <c r="L408" s="4" t="inlineStr">
        <is>
          <t>proponent-stated planning timeline</t>
        </is>
      </c>
      <c r="M408" s="4" t="inlineStr">
        <is>
          <t>New South Wales section of VNI West; final approval decision by the State and Commonwealth governments following NSW DPHI review of the EIS, Amendment Report and Submissions Report</t>
        </is>
      </c>
      <c r="N408" s="4" t="inlineStr">
        <is>
          <t>An approval-decision milestone, not a completion or in-service date; distinct from the August 2029 South West NSW REZ component timing and the November 2031 VIC-NSW Stage 2 timing already in this pack.</t>
        </is>
      </c>
      <c r="O408" s="4" t="inlineStr">
        <is>
          <t>VNN-TG-2026-PROJECTPAGE</t>
        </is>
      </c>
      <c r="P408" s="4" t="inlineStr">
        <is>
          <t>captured HTML page; derivative line 185</t>
        </is>
      </c>
      <c r="Q408" s="4" t="inlineStr">
        <is>
          <t>We currently anticipate a decision on project approval in late 2026.</t>
        </is>
      </c>
      <c r="R408" s="4" t="inlineStr"/>
      <c r="S408" s="4" t="inlineStr">
        <is>
          <t>Full sentence: 'NSW DPHI is reviewing the EIS, Amendment Report and Submissions Report for VNI West before making a recommendation towards a final approval decision by the State and Commonwealth governments.'</t>
        </is>
      </c>
    </row>
    <row r="409">
      <c r="A409" s="4" t="inlineStr">
        <is>
          <t>VNI West (South West NSW REZ component)</t>
        </is>
      </c>
      <c r="B409" s="4" t="inlineStr">
        <is>
          <t>VNN-PROJECT-VNI-NSW</t>
        </is>
      </c>
      <c r="C409" s="4" t="inlineStr">
        <is>
          <t>VNN-AO-2023-PACR-NSW-LENGTH-203</t>
        </is>
      </c>
      <c r="D409" s="4" t="inlineStr">
        <is>
          <t>trunk_km</t>
        </is>
      </c>
      <c r="E409" s="4" t="inlineStr">
        <is>
          <t>2023-05</t>
        </is>
      </c>
      <c r="F409" s="4" t="inlineStr">
        <is>
          <t>PACR Table 6 approximate line length, Option 5A NSW portion</t>
        </is>
      </c>
      <c r="G409" s="4" t="n">
        <v>203</v>
      </c>
      <c r="H409" s="4" t="inlineStr">
        <is>
          <t>km</t>
        </is>
      </c>
      <c r="I409" s="4" t="n"/>
      <c r="J409" s="4" t="n"/>
      <c r="K409" s="4" t="inlineStr">
        <is>
          <t>An assumption for Strategic Benefits Payment Scheme cost estimation, not a stated engineered route length</t>
        </is>
      </c>
      <c r="L409" s="4" t="inlineStr">
        <is>
          <t>cost-estimating assumption, RIT-T PACR</t>
        </is>
      </c>
      <c r="M409" s="4" t="inlineStr">
        <is>
          <t>Option 5A (preferred) NSW portion, indicative total length between EnergyConnect at Dinawan and the connection point to WRL; route not yet determined</t>
        </is>
      </c>
      <c r="N409" s="4" t="inlineStr">
        <is>
          <t>Same table gives Option 5 NSW 184 km, Option 5 VIC 205 km, Option 5A VIC 206 km; corridor-stage indicative length, not a built line length</t>
        </is>
      </c>
      <c r="O409" s="4" t="inlineStr">
        <is>
          <t>VNV-TRANSGRID-2023-PACR</t>
        </is>
      </c>
      <c r="P409" s="4" t="inlineStr">
        <is>
          <t>48</t>
        </is>
      </c>
      <c r="Q409" s="4" t="inlineStr">
        <is>
          <t>Approximate line length A 184 km 205 km 203 km 206 km</t>
        </is>
      </c>
      <c r="R409" s="4" t="inlineStr">
        <is>
          <t>selected</t>
        </is>
      </c>
      <c r="S409" s="4" t="inlineStr">
        <is>
          <t>Table 6 columns: Option 5 NSW, Option 5 VIC, Option 5A NSW, Option 5A VIC. The 184 km figure previously selected belongs to superseded Option 5.</t>
        </is>
      </c>
    </row>
    <row r="410">
      <c r="A410" s="4" t="inlineStr">
        <is>
          <t>VNI West (Victoria)</t>
        </is>
      </c>
      <c r="B410" s="4" t="inlineStr">
        <is>
          <t>VNV-PROJECT-VNI-VIC</t>
        </is>
      </c>
      <c r="C410" s="4" t="inlineStr">
        <is>
          <t>VNV-AO-2024-ISP-OPT1-COST</t>
        </is>
      </c>
      <c r="D410" s="4" t="inlineStr">
        <is>
          <t>cost</t>
        </is>
      </c>
      <c r="E410" s="4" t="inlineStr">
        <is>
          <t>2024-06</t>
        </is>
      </c>
      <c r="F410" s="4" t="inlineStr">
        <is>
          <t>AEMO 2024 ISP option 1 quoted project cost</t>
        </is>
      </c>
      <c r="G410" s="4" t="n">
        <v>3499</v>
      </c>
      <c r="H410" s="4" t="inlineStr">
        <is>
          <t>AUD million</t>
        </is>
      </c>
      <c r="I410" s="4" t="inlineStr">
        <is>
          <t>2020-21 dollars</t>
        </is>
      </c>
      <c r="J410" s="4" t="inlineStr">
        <is>
          <t>Class 4</t>
        </is>
      </c>
      <c r="K410" s="4" t="inlineStr">
        <is>
          <t>± 30%</t>
        </is>
      </c>
      <c r="L410" s="4" t="inlineStr">
        <is>
          <t>expected cost / actionable ISP option</t>
        </is>
      </c>
      <c r="M410" s="4" t="inlineStr">
        <is>
          <t>Whole VNI West option 1 (Bulgana - near Kerang - Dinawan), inclusive of $315m WRL project</t>
        </is>
      </c>
      <c r="N410" s="4" t="inlineStr">
        <is>
          <t>Whole-interconnector and WRL-inclusive; not a Victoria-only amount and not like-for-like with the 2026 $7,600m ($2025)</t>
        </is>
      </c>
      <c r="O410" s="4" t="inlineStr">
        <is>
          <t>HUM-AEMO-2024-ISP-A5</t>
        </is>
      </c>
      <c r="P410" s="4" t="inlineStr">
        <is>
          <t>45</t>
        </is>
      </c>
      <c r="Q410" s="4" t="inlineStr">
        <is>
          <t>3,499 * 
(2020-21 dollars) 
(Cost is inclusive of 
$315m WRL project) 
Class 4 (± 30%)</t>
        </is>
      </c>
      <c r="R410" s="4" t="inlineStr"/>
      <c r="S410" s="4" t="inlineStr">
        <is>
          <t>Page numbers are the '--- PDF page n ---' markers of the text derivative.</t>
        </is>
      </c>
    </row>
    <row r="411">
      <c r="A411" s="4" t="inlineStr">
        <is>
          <t>VNI West (Victoria)</t>
        </is>
      </c>
      <c r="B411" s="4" t="inlineStr">
        <is>
          <t>VNV-PROJECT-VNI-VIC</t>
        </is>
      </c>
      <c r="C411" s="4" t="inlineStr">
        <is>
          <t>VNV-AO-2024-WRL-INCLUDED</t>
        </is>
      </c>
      <c r="D411" s="4" t="inlineStr">
        <is>
          <t>cost</t>
        </is>
      </c>
      <c r="E411" s="4" t="inlineStr">
        <is>
          <t>2024-06</t>
        </is>
      </c>
      <c r="F411" s="4" t="inlineStr">
        <is>
          <t>WRL amount included inside the 2024 quoted cost</t>
        </is>
      </c>
      <c r="G411" s="4" t="n">
        <v>315</v>
      </c>
      <c r="H411" s="4" t="inlineStr">
        <is>
          <t>AUD million</t>
        </is>
      </c>
      <c r="I411" s="4" t="inlineStr">
        <is>
          <t>2020-21 dollars</t>
        </is>
      </c>
      <c r="J411" s="4" t="inlineStr">
        <is>
          <t>Class 4</t>
        </is>
      </c>
      <c r="K411" s="4" t="inlineStr">
        <is>
          <t>Not separately stated</t>
        </is>
      </c>
      <c r="L411" s="4" t="inlineStr">
        <is>
          <t>included component of a quoted cost</t>
        </is>
      </c>
      <c r="M411" s="4" t="inlineStr">
        <is>
          <t>Western Renewables Link project cost carried inside the $3,499m quoted figure</t>
        </is>
      </c>
      <c r="N411" s="4" t="inlineStr">
        <is>
          <t>Belongs to WRL, not to VNI West; do not add WRL amounts to a VNI West total</t>
        </is>
      </c>
      <c r="O411" s="4" t="inlineStr">
        <is>
          <t>HUM-AEMO-2024-ISP-A5</t>
        </is>
      </c>
      <c r="P411" s="4" t="inlineStr">
        <is>
          <t>45</t>
        </is>
      </c>
      <c r="Q411" s="4" t="inlineStr">
        <is>
          <t>(Cost is inclusive of 
$315m WRL project)</t>
        </is>
      </c>
      <c r="R411" s="4" t="inlineStr"/>
      <c r="S411" s="4" t="inlineStr">
        <is>
          <t>Basis for the SHARED_ATTRIBUTION warning.</t>
        </is>
      </c>
    </row>
    <row r="412">
      <c r="A412" s="4" t="inlineStr">
        <is>
          <t>VNI West (Victoria)</t>
        </is>
      </c>
      <c r="B412" s="4" t="inlineStr">
        <is>
          <t>VNV-PROJECT-VNI-VIC</t>
        </is>
      </c>
      <c r="C412" s="4" t="inlineStr">
        <is>
          <t>VNV-AO-2024-ISP-MODELLING</t>
        </is>
      </c>
      <c r="D412" s="4" t="inlineStr">
        <is>
          <t>cost</t>
        </is>
      </c>
      <c r="E412" s="4" t="inlineStr">
        <is>
          <t>2024-06</t>
        </is>
      </c>
      <c r="F412" s="4" t="inlineStr">
        <is>
          <t>AEMO 2024 ISP modelling cost for VNI West</t>
        </is>
      </c>
      <c r="G412" s="4" t="n">
        <v>3614</v>
      </c>
      <c r="H412" s="4" t="inlineStr">
        <is>
          <t>AUD million</t>
        </is>
      </c>
      <c r="I412" s="4" t="inlineStr">
        <is>
          <t>real 2023 dollars</t>
        </is>
      </c>
      <c r="J412" s="4" t="inlineStr">
        <is>
          <t>Class 4</t>
        </is>
      </c>
      <c r="K412" s="4" t="inlineStr">
        <is>
          <t>± 30% applied to the quoted cost</t>
        </is>
      </c>
      <c r="L412" s="4" t="inlineStr">
        <is>
          <t>planner modelling conversion</t>
        </is>
      </c>
      <c r="M412" s="4" t="inlineStr">
        <is>
          <t>VNI West with WRL cost removed, converted from 2020-21 to real 2023 dollars</t>
        </is>
      </c>
      <c r="N412" s="4" t="inlineStr">
        <is>
          <t>A conversion of the same 2024 estimate, not an independent or later estimate; not comparable with the 2026 $7,600m</t>
        </is>
      </c>
      <c r="O412" s="4" t="inlineStr">
        <is>
          <t>HUM-AEMO-2024-ISP-A5</t>
        </is>
      </c>
      <c r="P412" s="4" t="inlineStr">
        <is>
          <t>45</t>
        </is>
      </c>
      <c r="Q412" s="4" t="inlineStr">
        <is>
          <t>For ISP modelling, AEMO has applied a cost of $3,614 million for VNI West. This is determined by subtracting the cost of WRL from the quoted project cost in 2020-21 dollars</t>
        </is>
      </c>
      <c r="R412" s="4" t="inlineStr"/>
      <c r="S412" s="4" t="inlineStr">
        <is>
          <t>Do not present $3,499m and $3,614m as two points in a cost series.</t>
        </is>
      </c>
    </row>
    <row r="413">
      <c r="A413" s="4" t="inlineStr">
        <is>
          <t>VNI West (Victoria)</t>
        </is>
      </c>
      <c r="B413" s="4" t="inlineStr">
        <is>
          <t>VNV-PROJECT-VNI-VIC</t>
        </is>
      </c>
      <c r="C413" s="4" t="inlineStr">
        <is>
          <t>VNV-AO-2026-REPORTED-TOTAL</t>
        </is>
      </c>
      <c r="D413" s="4" t="inlineStr">
        <is>
          <t>cost</t>
        </is>
      </c>
      <c r="E413" s="4" t="inlineStr">
        <is>
          <t>2026-06</t>
        </is>
      </c>
      <c r="F413" s="4" t="inlineStr">
        <is>
          <t>AEMO 2026 ISP reported total project cost</t>
        </is>
      </c>
      <c r="G413" s="4" t="n">
        <v>7600</v>
      </c>
      <c r="H413" s="4" t="inlineStr">
        <is>
          <t>AUD million</t>
        </is>
      </c>
      <c r="I413" s="4" t="inlineStr">
        <is>
          <t>$2025</t>
        </is>
      </c>
      <c r="J413" s="4" t="inlineStr">
        <is>
          <t>Class 4</t>
        </is>
      </c>
      <c r="K413" s="4" t="inlineStr">
        <is>
          <t>-30%/+50%</t>
        </is>
      </c>
      <c r="L413" s="4" t="inlineStr">
        <is>
          <t>reported total project cost</t>
        </is>
      </c>
      <c r="M413" s="4" t="inlineStr">
        <is>
          <t>South West NSW REZ + Interconnector; whole integrated VNI West including two Dinawan transformers</t>
        </is>
      </c>
      <c r="N413" s="4" t="inlineStr">
        <is>
          <t>Bundled whole-VNI figure spanning both states; no Victoria/NSW allocation is published and it is not comparable with the 2024 amounts</t>
        </is>
      </c>
      <c r="O413" s="4" t="inlineStr">
        <is>
          <t>HUM-AEMO-2026-ISP-A5</t>
        </is>
      </c>
      <c r="P413" s="4" t="inlineStr">
        <is>
          <t>52</t>
        </is>
      </c>
      <c r="Q413" s="4" t="inlineStr">
        <is>
          <t>7,600106  
(South West NSW REZ + 
Interconnector) 
Class 4 
(-30%/+50%) ($2025)</t>
        </is>
      </c>
      <c r="R413" s="4" t="inlineStr">
        <is>
          <t>selected</t>
        </is>
      </c>
      <c r="S413" s="4" t="inlineStr">
        <is>
          <t>Footnote 106 states AEMO has reported the total project cost.</t>
        </is>
      </c>
    </row>
    <row r="414">
      <c r="A414" s="4" t="inlineStr">
        <is>
          <t>VNI West (Victoria)</t>
        </is>
      </c>
      <c r="B414" s="4" t="inlineStr">
        <is>
          <t>VNV-PROJECT-VNI-VIC</t>
        </is>
      </c>
      <c r="C414" s="4" t="inlineStr">
        <is>
          <t>VNV-AO-2026-EARLY-WORKS</t>
        </is>
      </c>
      <c r="D414" s="4" t="inlineStr">
        <is>
          <t>cost</t>
        </is>
      </c>
      <c r="E414" s="4" t="inlineStr">
        <is>
          <t>2026-06</t>
        </is>
      </c>
      <c r="F414" s="4" t="inlineStr">
        <is>
          <t>Approved early works and other incurred costs within the reported total</t>
        </is>
      </c>
      <c r="G414" s="4" t="n">
        <v>565</v>
      </c>
      <c r="H414" s="4" t="inlineStr">
        <is>
          <t>AUD million</t>
        </is>
      </c>
      <c r="I414" s="4" t="n"/>
      <c r="J414" s="4" t="n"/>
      <c r="K414" s="4" t="inlineStr">
        <is>
          <t>Not stated</t>
        </is>
      </c>
      <c r="L414" s="4" t="inlineStr">
        <is>
          <t>incurred/approved cost inside the reported total</t>
        </is>
      </c>
      <c r="M414" s="4" t="inlineStr">
        <is>
          <t>Portion of the $7,600m relating to approved early works and other incurred costs; excluded from the 2026 ISP CBA</t>
        </is>
      </c>
      <c r="N414" s="4" t="inlineStr">
        <is>
          <t>A subset of the $7,600m, not an addition to it; the footnote states no dollar year of its own</t>
        </is>
      </c>
      <c r="O414" s="4" t="inlineStr">
        <is>
          <t>HUM-AEMO-2026-ISP-A5</t>
        </is>
      </c>
      <c r="P414" s="4" t="inlineStr">
        <is>
          <t>52</t>
        </is>
      </c>
      <c r="Q414" s="4" t="inlineStr">
        <is>
          <t>Transgrid has advised $565 million of this amount relates to approved early works and other incurred costs.</t>
        </is>
      </c>
      <c r="R414" s="4" t="inlineStr"/>
      <c r="S414" s="4" t="inlineStr">
        <is>
          <t>Price basis not restated in the footnote; see PRICE_BASIS_UNKNOWN.</t>
        </is>
      </c>
    </row>
    <row r="415">
      <c r="A415" s="4" t="inlineStr">
        <is>
          <t>VNI West (Victoria)</t>
        </is>
      </c>
      <c r="B415" s="4" t="inlineStr">
        <is>
          <t>VNV-PROJECT-VNI-VIC</t>
        </is>
      </c>
      <c r="C415" s="4" t="inlineStr">
        <is>
          <t>VNV-AO-2026-THIRD-TRANSFORMER</t>
        </is>
      </c>
      <c r="D415" s="4" t="inlineStr">
        <is>
          <t>cost</t>
        </is>
      </c>
      <c r="E415" s="4" t="inlineStr">
        <is>
          <t>2026-06</t>
        </is>
      </c>
      <c r="F415" s="4" t="inlineStr">
        <is>
          <t>Third Dinawan transformer incremental cost</t>
        </is>
      </c>
      <c r="G415" s="4" t="n">
        <v>116</v>
      </c>
      <c r="H415" s="4" t="inlineStr">
        <is>
          <t>AUD million</t>
        </is>
      </c>
      <c r="I415" s="4" t="n"/>
      <c r="J415" s="4" t="inlineStr">
        <is>
          <t>Class 5b</t>
        </is>
      </c>
      <c r="K415" s="4" t="inlineStr">
        <is>
          <t>±50%</t>
        </is>
      </c>
      <c r="L415" s="4" t="inlineStr">
        <is>
          <t>separately modelled increment</t>
        </is>
      </c>
      <c r="M415" s="4" t="inlineStr">
        <is>
          <t>Third Dinawan 500/330 kV transformer (N5 Option 2), modelled above the $7,600m which includes two transformers only</t>
        </is>
      </c>
      <c r="N415" s="4" t="inlineStr">
        <is>
          <t>Different estimate class and a NSW-end scope option; do not sum into the reported total</t>
        </is>
      </c>
      <c r="O415" s="4" t="inlineStr">
        <is>
          <t>HUM-AEMO-2026-ISP-A5</t>
        </is>
      </c>
      <c r="P415" s="4" t="inlineStr">
        <is>
          <t>52</t>
        </is>
      </c>
      <c r="Q415" s="4" t="inlineStr">
        <is>
          <t>additional cost of $116 
million Class 5b (±50%), above the $7,600 million cost of VNI West, which includes two transformers only.</t>
        </is>
      </c>
      <c r="R415" s="4" t="inlineStr"/>
      <c r="S415" s="4" t="inlineStr">
        <is>
          <t>Footnote 103. Price basis not stated.</t>
        </is>
      </c>
    </row>
    <row r="416">
      <c r="A416" s="4" t="inlineStr">
        <is>
          <t>VNI West (Victoria)</t>
        </is>
      </c>
      <c r="B416" s="4" t="inlineStr">
        <is>
          <t>VNV-PROJECT-VNI-VIC</t>
        </is>
      </c>
      <c r="C416" s="4" t="inlineStr">
        <is>
          <t>VNV-AO-2024-CAP-NORTH</t>
        </is>
      </c>
      <c r="D416" s="4" t="inlineStr">
        <is>
          <t>capacity</t>
        </is>
      </c>
      <c r="E416" s="4" t="inlineStr">
        <is>
          <t>2024-06</t>
        </is>
      </c>
      <c r="F416" s="4" t="inlineStr">
        <is>
          <t>AEMO 2024 ISP option 1 additional network capacity, North</t>
        </is>
      </c>
      <c r="G416" s="4" t="n">
        <v>1935</v>
      </c>
      <c r="H416" s="4" t="inlineStr">
        <is>
          <t>MW</t>
        </is>
      </c>
      <c r="I416" s="4" t="n"/>
      <c r="J416" s="4" t="n"/>
      <c r="K416" s="4" t="inlineStr">
        <is>
          <t>Not stated</t>
        </is>
      </c>
      <c r="L416" s="4" t="inlineStr">
        <is>
          <t>planner modelled additional capacity</t>
        </is>
      </c>
      <c r="M416" s="4" t="inlineStr">
        <is>
          <t>Whole VNI West option 1, northward direction</t>
        </is>
      </c>
      <c r="N416" s="4" t="inlineStr">
        <is>
          <t>Directional 2024 value; superseded in presentation by the 2026 forward/reverse figures</t>
        </is>
      </c>
      <c r="O416" s="4" t="inlineStr">
        <is>
          <t>HUM-AEMO-2024-ISP-A5</t>
        </is>
      </c>
      <c r="P416" s="4" t="inlineStr">
        <is>
          <t>45</t>
        </is>
      </c>
      <c r="Q416" s="4" t="inlineStr">
        <is>
          <t>North: 1,935 MW</t>
        </is>
      </c>
      <c r="R416" s="4" t="inlineStr"/>
      <c r="S416" s="4" t="inlineStr"/>
    </row>
    <row r="417">
      <c r="A417" s="4" t="inlineStr">
        <is>
          <t>VNI West (Victoria)</t>
        </is>
      </c>
      <c r="B417" s="4" t="inlineStr">
        <is>
          <t>VNV-PROJECT-VNI-VIC</t>
        </is>
      </c>
      <c r="C417" s="4" t="inlineStr">
        <is>
          <t>VNV-AO-2024-CAP-SOUTH</t>
        </is>
      </c>
      <c r="D417" s="4" t="inlineStr">
        <is>
          <t>capacity</t>
        </is>
      </c>
      <c r="E417" s="4" t="inlineStr">
        <is>
          <t>2024-06</t>
        </is>
      </c>
      <c r="F417" s="4" t="inlineStr">
        <is>
          <t>AEMO 2024 ISP option 1 additional network capacity, South</t>
        </is>
      </c>
      <c r="G417" s="4" t="n">
        <v>1669</v>
      </c>
      <c r="H417" s="4" t="inlineStr">
        <is>
          <t>MW</t>
        </is>
      </c>
      <c r="I417" s="4" t="n"/>
      <c r="J417" s="4" t="n"/>
      <c r="K417" s="4" t="inlineStr">
        <is>
          <t>Not stated</t>
        </is>
      </c>
      <c r="L417" s="4" t="inlineStr">
        <is>
          <t>planner modelled additional capacity</t>
        </is>
      </c>
      <c r="M417" s="4" t="inlineStr">
        <is>
          <t>Whole VNI West option 1, southward direction</t>
        </is>
      </c>
      <c r="N417" s="4" t="inlineStr">
        <is>
          <t>Directional 2024 value; not additive with the North value</t>
        </is>
      </c>
      <c r="O417" s="4" t="inlineStr">
        <is>
          <t>HUM-AEMO-2024-ISP-A5</t>
        </is>
      </c>
      <c r="P417" s="4" t="inlineStr">
        <is>
          <t>45</t>
        </is>
      </c>
      <c r="Q417" s="4" t="inlineStr">
        <is>
          <t>South: 1,669 MW</t>
        </is>
      </c>
      <c r="R417" s="4" t="inlineStr"/>
      <c r="S417" s="4" t="inlineStr"/>
    </row>
    <row r="418">
      <c r="A418" s="4" t="inlineStr">
        <is>
          <t>VNI West (Victoria)</t>
        </is>
      </c>
      <c r="B418" s="4" t="inlineStr">
        <is>
          <t>VNV-PROJECT-VNI-VIC</t>
        </is>
      </c>
      <c r="C418" s="4" t="inlineStr">
        <is>
          <t>VNV-AO-2024-CAP-V2</t>
        </is>
      </c>
      <c r="D418" s="4" t="inlineStr">
        <is>
          <t>capacity</t>
        </is>
      </c>
      <c r="E418" s="4" t="inlineStr">
        <is>
          <t>2024-06</t>
        </is>
      </c>
      <c r="F418" s="4" t="inlineStr">
        <is>
          <t>AEMO 2024 ISP option 1 V2 REZ capacity</t>
        </is>
      </c>
      <c r="G418" s="4" t="n">
        <v>1580</v>
      </c>
      <c r="H418" s="4" t="inlineStr">
        <is>
          <t>MW</t>
        </is>
      </c>
      <c r="I418" s="4" t="n"/>
      <c r="J418" s="4" t="n"/>
      <c r="K418" s="4" t="inlineStr">
        <is>
          <t>Not stated</t>
        </is>
      </c>
      <c r="L418" s="4" t="inlineStr">
        <is>
          <t>planner modelled additional REZ capacity</t>
        </is>
      </c>
      <c r="M418" s="4" t="inlineStr">
        <is>
          <t>V2 REZ hosting capacity unlocked by option 1</t>
        </is>
      </c>
      <c r="N418" s="4" t="inlineStr">
        <is>
          <t>REZ hosting capacity, a different boundary from interconnector transfer capability</t>
        </is>
      </c>
      <c r="O418" s="4" t="inlineStr">
        <is>
          <t>HUM-AEMO-2024-ISP-A5</t>
        </is>
      </c>
      <c r="P418" s="4" t="inlineStr">
        <is>
          <t>45</t>
        </is>
      </c>
      <c r="Q418" s="4" t="inlineStr">
        <is>
          <t>V2: 1,580 MW</t>
        </is>
      </c>
      <c r="R418" s="4" t="inlineStr"/>
      <c r="S418" s="4" t="inlineStr"/>
    </row>
    <row r="419">
      <c r="A419" s="4" t="inlineStr">
        <is>
          <t>VNI West (Victoria)</t>
        </is>
      </c>
      <c r="B419" s="4" t="inlineStr">
        <is>
          <t>VNV-PROJECT-VNI-VIC</t>
        </is>
      </c>
      <c r="C419" s="4" t="inlineStr">
        <is>
          <t>VNV-AO-2024-CAP-V3</t>
        </is>
      </c>
      <c r="D419" s="4" t="inlineStr">
        <is>
          <t>capacity</t>
        </is>
      </c>
      <c r="E419" s="4" t="inlineStr">
        <is>
          <t>2024-06</t>
        </is>
      </c>
      <c r="F419" s="4" t="inlineStr">
        <is>
          <t>AEMO 2024 ISP option 1 V3 REZ capacity increment</t>
        </is>
      </c>
      <c r="G419" s="4" t="n">
        <v>200</v>
      </c>
      <c r="H419" s="4" t="inlineStr">
        <is>
          <t>MW</t>
        </is>
      </c>
      <c r="I419" s="4" t="n"/>
      <c r="J419" s="4" t="n"/>
      <c r="K419" s="4" t="inlineStr">
        <is>
          <t>Not stated</t>
        </is>
      </c>
      <c r="L419" s="4" t="inlineStr">
        <is>
          <t>planner modelled additional REZ capacity</t>
        </is>
      </c>
      <c r="M419" s="4" t="inlineStr">
        <is>
          <t>V3 REZ increment in addition to the 1,460 MW from the anticipated WRL (uprated) project</t>
        </is>
      </c>
      <c r="N419" s="4" t="inlineStr">
        <is>
          <t>Explicitly incremental to WRL's 1,460 MW; not a VNI West stand-alone figure</t>
        </is>
      </c>
      <c r="O419" s="4" t="inlineStr">
        <is>
          <t>HUM-AEMO-2024-ISP-A5</t>
        </is>
      </c>
      <c r="P419" s="4" t="inlineStr">
        <is>
          <t>45</t>
        </is>
      </c>
      <c r="Q419" s="4" t="inlineStr">
        <is>
          <t>V3 (WRL and VNI timing): 200 MW**</t>
        </is>
      </c>
      <c r="R419" s="4" t="inlineStr"/>
      <c r="S419" s="4" t="inlineStr">
        <is>
          <t>Footnote ** states the 200 MW is in addition to the 1,460 MW from the anticipated WRL (uprated) project.</t>
        </is>
      </c>
    </row>
    <row r="420">
      <c r="A420" s="4" t="inlineStr">
        <is>
          <t>VNI West (Victoria)</t>
        </is>
      </c>
      <c r="B420" s="4" t="inlineStr">
        <is>
          <t>VNV-PROJECT-VNI-VIC</t>
        </is>
      </c>
      <c r="C420" s="4" t="inlineStr">
        <is>
          <t>VNV-AO-2024-CAP-N5</t>
        </is>
      </c>
      <c r="D420" s="4" t="inlineStr">
        <is>
          <t>capacity</t>
        </is>
      </c>
      <c r="E420" s="4" t="inlineStr">
        <is>
          <t>2024-06</t>
        </is>
      </c>
      <c r="F420" s="4" t="inlineStr">
        <is>
          <t>AEMO 2024 ISP option 1 N5 REZ capacity</t>
        </is>
      </c>
      <c r="G420" s="4" t="n">
        <v>900</v>
      </c>
      <c r="H420" s="4" t="inlineStr">
        <is>
          <t>MW</t>
        </is>
      </c>
      <c r="I420" s="4" t="n"/>
      <c r="J420" s="4" t="n"/>
      <c r="K420" s="4" t="inlineStr">
        <is>
          <t>Not stated</t>
        </is>
      </c>
      <c r="L420" s="4" t="inlineStr">
        <is>
          <t>planner modelled additional REZ capacity</t>
        </is>
      </c>
      <c r="M420" s="4" t="inlineStr">
        <is>
          <t>N5 (South West NSW) REZ capacity under option 1</t>
        </is>
      </c>
      <c r="N420" s="4" t="inlineStr">
        <is>
          <t>NSW-end REZ capacity; restated as 600 MW (+1,800 MW option) in the 2026 ISP</t>
        </is>
      </c>
      <c r="O420" s="4" t="inlineStr">
        <is>
          <t>HUM-AEMO-2024-ISP-A5</t>
        </is>
      </c>
      <c r="P420" s="4" t="inlineStr">
        <is>
          <t>45</t>
        </is>
      </c>
      <c r="Q420" s="4" t="inlineStr">
        <is>
          <t>N5: 900 MW</t>
        </is>
      </c>
      <c r="R420" s="4" t="inlineStr"/>
      <c r="S420" s="4" t="inlineStr"/>
    </row>
    <row r="421">
      <c r="A421" s="4" t="inlineStr">
        <is>
          <t>VNI West (Victoria)</t>
        </is>
      </c>
      <c r="B421" s="4" t="inlineStr">
        <is>
          <t>VNV-PROJECT-VNI-VIC</t>
        </is>
      </c>
      <c r="C421" s="4" t="inlineStr">
        <is>
          <t>VNV-AO-2026-CAP-FORWARD</t>
        </is>
      </c>
      <c r="D421" s="4" t="inlineStr">
        <is>
          <t>capacity</t>
        </is>
      </c>
      <c r="E421" s="4" t="inlineStr">
        <is>
          <t>2026-06</t>
        </is>
      </c>
      <c r="F421" s="4" t="inlineStr">
        <is>
          <t>AEMO 2026 ISP VIC-NSW additional network capacity, forward</t>
        </is>
      </c>
      <c r="G421" s="4" t="n">
        <v>1890</v>
      </c>
      <c r="H421" s="4" t="inlineStr">
        <is>
          <t>MW</t>
        </is>
      </c>
      <c r="I421" s="4" t="n"/>
      <c r="J421" s="4" t="n"/>
      <c r="K421" s="4" t="inlineStr">
        <is>
          <t>Not stated</t>
        </is>
      </c>
      <c r="L421" s="4" t="inlineStr">
        <is>
          <t>planner modelled additional capacity</t>
        </is>
      </c>
      <c r="M421" s="4" t="inlineStr">
        <is>
          <t>VIC-NSW (Bulgana - Kerang - Dinawan) Stage 2, forward direction</t>
        </is>
      </c>
      <c r="N421" s="4" t="inlineStr">
        <is>
          <t>Directional; not a single whole-project capacity and not additive with the reverse value</t>
        </is>
      </c>
      <c r="O421" s="4" t="inlineStr">
        <is>
          <t>HUM-AEMO-2026-ISP-A5</t>
        </is>
      </c>
      <c r="P421" s="4" t="inlineStr">
        <is>
          <t>53</t>
        </is>
      </c>
      <c r="Q421" s="4" t="inlineStr">
        <is>
          <t>Forward: 1,890</t>
        </is>
      </c>
      <c r="R421" s="4" t="inlineStr">
        <is>
          <t>selected</t>
        </is>
      </c>
      <c r="S421" s="4" t="inlineStr"/>
    </row>
    <row r="422">
      <c r="A422" s="4" t="inlineStr">
        <is>
          <t>VNI West (Victoria)</t>
        </is>
      </c>
      <c r="B422" s="4" t="inlineStr">
        <is>
          <t>VNV-PROJECT-VNI-VIC</t>
        </is>
      </c>
      <c r="C422" s="4" t="inlineStr">
        <is>
          <t>VNV-AO-2026-CAP-REVERSE</t>
        </is>
      </c>
      <c r="D422" s="4" t="inlineStr">
        <is>
          <t>capacity</t>
        </is>
      </c>
      <c r="E422" s="4" t="inlineStr">
        <is>
          <t>2026-06</t>
        </is>
      </c>
      <c r="F422" s="4" t="inlineStr">
        <is>
          <t>AEMO 2026 ISP VIC-NSW additional network capacity, reverse</t>
        </is>
      </c>
      <c r="G422" s="4" t="n">
        <v>1670</v>
      </c>
      <c r="H422" s="4" t="inlineStr">
        <is>
          <t>MW</t>
        </is>
      </c>
      <c r="I422" s="4" t="n"/>
      <c r="J422" s="4" t="n"/>
      <c r="K422" s="4" t="inlineStr">
        <is>
          <t>Not stated</t>
        </is>
      </c>
      <c r="L422" s="4" t="inlineStr">
        <is>
          <t>planner modelled additional capacity</t>
        </is>
      </c>
      <c r="M422" s="4" t="inlineStr">
        <is>
          <t>VIC-NSW (Bulgana - Kerang - Dinawan) Stage 2, reverse direction</t>
        </is>
      </c>
      <c r="N422" s="4" t="inlineStr">
        <is>
          <t>Directional; not additive with the forward value</t>
        </is>
      </c>
      <c r="O422" s="4" t="inlineStr">
        <is>
          <t>HUM-AEMO-2026-ISP-A5</t>
        </is>
      </c>
      <c r="P422" s="4" t="inlineStr">
        <is>
          <t>53</t>
        </is>
      </c>
      <c r="Q422" s="4" t="inlineStr">
        <is>
          <t>Reverse: 1,670</t>
        </is>
      </c>
      <c r="R422" s="4" t="inlineStr"/>
      <c r="S422" s="4" t="inlineStr"/>
    </row>
    <row r="423">
      <c r="A423" s="4" t="inlineStr">
        <is>
          <t>VNI West (Victoria)</t>
        </is>
      </c>
      <c r="B423" s="4" t="inlineStr">
        <is>
          <t>VNV-PROJECT-VNI-VIC</t>
        </is>
      </c>
      <c r="C423" s="4" t="inlineStr">
        <is>
          <t>VNV-AO-2026-CAP-V1</t>
        </is>
      </c>
      <c r="D423" s="4" t="inlineStr">
        <is>
          <t>capacity</t>
        </is>
      </c>
      <c r="E423" s="4" t="inlineStr">
        <is>
          <t>2026-06</t>
        </is>
      </c>
      <c r="F423" s="4" t="inlineStr">
        <is>
          <t>AEMO 2026 ISP V1 REZ capacity</t>
        </is>
      </c>
      <c r="G423" s="4" t="n">
        <v>1580</v>
      </c>
      <c r="H423" s="4" t="inlineStr">
        <is>
          <t>MW</t>
        </is>
      </c>
      <c r="I423" s="4" t="n"/>
      <c r="J423" s="4" t="n"/>
      <c r="K423" s="4" t="inlineStr">
        <is>
          <t>Not stated</t>
        </is>
      </c>
      <c r="L423" s="4" t="inlineStr">
        <is>
          <t>planner modelled additional REZ capacity</t>
        </is>
      </c>
      <c r="M423" s="4" t="inlineStr">
        <is>
          <t>V1 REZ capacity attributed to the VIC-NSW Stage 2 scope</t>
        </is>
      </c>
      <c r="N423" s="4" t="inlineStr">
        <is>
          <t>REZ hosting capacity, a different boundary from interconnector transfer capability</t>
        </is>
      </c>
      <c r="O423" s="4" t="inlineStr">
        <is>
          <t>HUM-AEMO-2026-ISP-A5</t>
        </is>
      </c>
      <c r="P423" s="4" t="inlineStr">
        <is>
          <t>53</t>
        </is>
      </c>
      <c r="Q423" s="4" t="inlineStr">
        <is>
          <t>V1: 1,580</t>
        </is>
      </c>
      <c r="R423" s="4" t="inlineStr"/>
      <c r="S423" s="4" t="inlineStr">
        <is>
          <t>REZ labels changed between the 2024 and 2026 ISPs; do not treat V2 (2024) and V1 (2026) as the same series without checking the REZ definitions.</t>
        </is>
      </c>
    </row>
    <row r="424">
      <c r="A424" s="4" t="inlineStr">
        <is>
          <t>VNI West (Victoria)</t>
        </is>
      </c>
      <c r="B424" s="4" t="inlineStr">
        <is>
          <t>VNV-PROJECT-VNI-VIC</t>
        </is>
      </c>
      <c r="C424" s="4" t="inlineStr">
        <is>
          <t>VNV-AO-2026-CAP-WV2</t>
        </is>
      </c>
      <c r="D424" s="4" t="inlineStr">
        <is>
          <t>capacity</t>
        </is>
      </c>
      <c r="E424" s="4" t="inlineStr">
        <is>
          <t>2026-06</t>
        </is>
      </c>
      <c r="F424" s="4" t="inlineStr">
        <is>
          <t>AEMO 2026 ISP WV2 REZ capacity</t>
        </is>
      </c>
      <c r="G424" s="4" t="n">
        <v>200</v>
      </c>
      <c r="H424" s="4" t="inlineStr">
        <is>
          <t>MW</t>
        </is>
      </c>
      <c r="I424" s="4" t="n"/>
      <c r="J424" s="4" t="n"/>
      <c r="K424" s="4" t="inlineStr">
        <is>
          <t>Not stated</t>
        </is>
      </c>
      <c r="L424" s="4" t="inlineStr">
        <is>
          <t>planner modelled additional REZ capacity</t>
        </is>
      </c>
      <c r="M424" s="4" t="inlineStr">
        <is>
          <t>WV2 REZ capacity attributed to the VIC-NSW Stage 2 scope</t>
        </is>
      </c>
      <c r="N424" s="4" t="inlineStr">
        <is>
          <t>REZ hosting capacity; the 2024 equivalent was stated as incremental to WRL</t>
        </is>
      </c>
      <c r="O424" s="4" t="inlineStr">
        <is>
          <t>HUM-AEMO-2026-ISP-A5</t>
        </is>
      </c>
      <c r="P424" s="4" t="inlineStr">
        <is>
          <t>53</t>
        </is>
      </c>
      <c r="Q424" s="4" t="inlineStr">
        <is>
          <t>WV2: 200</t>
        </is>
      </c>
      <c r="R424" s="4" t="inlineStr"/>
      <c r="S424" s="4" t="inlineStr"/>
    </row>
    <row r="425">
      <c r="A425" s="4" t="inlineStr">
        <is>
          <t>VNI West (Victoria)</t>
        </is>
      </c>
      <c r="B425" s="4" t="inlineStr">
        <is>
          <t>VNV-PROJECT-VNI-VIC</t>
        </is>
      </c>
      <c r="C425" s="4" t="inlineStr">
        <is>
          <t>VNV-AO-2026-CAP-N5</t>
        </is>
      </c>
      <c r="D425" s="4" t="inlineStr">
        <is>
          <t>capacity</t>
        </is>
      </c>
      <c r="E425" s="4" t="inlineStr">
        <is>
          <t>2026-06</t>
        </is>
      </c>
      <c r="F425" s="4" t="inlineStr">
        <is>
          <t>AEMO 2026 ISP N5 REZ capacity, South West NSW REZ Stage 1</t>
        </is>
      </c>
      <c r="G425" s="4" t="n">
        <v>600</v>
      </c>
      <c r="H425" s="4" t="inlineStr">
        <is>
          <t>MW</t>
        </is>
      </c>
      <c r="I425" s="4" t="n"/>
      <c r="J425" s="4" t="n"/>
      <c r="K425" s="4" t="inlineStr">
        <is>
          <t>Not stated</t>
        </is>
      </c>
      <c r="L425" s="4" t="inlineStr">
        <is>
          <t>planner modelled additional REZ capacity</t>
        </is>
      </c>
      <c r="M425" s="4" t="inlineStr">
        <is>
          <t>South West NSW REZ Stage 1 (N5 Option 1) with two Dinawan transformers</t>
        </is>
      </c>
      <c r="N425" s="4" t="inlineStr">
        <is>
          <t>NSW-end REZ capacity, not Victorian; restated from 900 MW in the 2024 ISP</t>
        </is>
      </c>
      <c r="O425" s="4" t="inlineStr">
        <is>
          <t>HUM-AEMO-2026-ISP-A5</t>
        </is>
      </c>
      <c r="P425" s="4" t="inlineStr">
        <is>
          <t>52</t>
        </is>
      </c>
      <c r="Q425" s="4" t="inlineStr">
        <is>
          <t>N5: 600 (+1,800105)</t>
        </is>
      </c>
      <c r="R425" s="4" t="inlineStr"/>
      <c r="S425" s="4" t="inlineStr"/>
    </row>
    <row r="426">
      <c r="A426" s="4" t="inlineStr">
        <is>
          <t>VNI West (Victoria)</t>
        </is>
      </c>
      <c r="B426" s="4" t="inlineStr">
        <is>
          <t>VNV-PROJECT-VNI-VIC</t>
        </is>
      </c>
      <c r="C426" s="4" t="inlineStr">
        <is>
          <t>VNV-AO-2026-CAP-THIRD-TF</t>
        </is>
      </c>
      <c r="D426" s="4" t="inlineStr">
        <is>
          <t>capacity</t>
        </is>
      </c>
      <c r="E426" s="4" t="inlineStr">
        <is>
          <t>2026-06</t>
        </is>
      </c>
      <c r="F426" s="4" t="inlineStr">
        <is>
          <t>REZ transfer capacity expansion from a third Dinawan transformer</t>
        </is>
      </c>
      <c r="G426" s="4" t="n">
        <v>1800</v>
      </c>
      <c r="H426" s="4" t="inlineStr">
        <is>
          <t>MW</t>
        </is>
      </c>
      <c r="I426" s="4" t="n"/>
      <c r="J426" s="4" t="n"/>
      <c r="K426" s="4" t="inlineStr">
        <is>
          <t>Not stated</t>
        </is>
      </c>
      <c r="L426" s="4" t="inlineStr">
        <is>
          <t>separately modelled option (N5 Option 2)</t>
        </is>
      </c>
      <c r="M426" s="4" t="inlineStr">
        <is>
          <t>Expansion of REZ transfer capacity from Dinawan, conditional on the third transformer option</t>
        </is>
      </c>
      <c r="N426" s="4" t="inlineStr">
        <is>
          <t>NSW-end REZ option, not interconnector transfer capability; unrelated to the chart's 1.8 GW despite the coincident number</t>
        </is>
      </c>
      <c r="O426" s="4" t="inlineStr">
        <is>
          <t>HUM-AEMO-2026-ISP-A5</t>
        </is>
      </c>
      <c r="P426" s="4" t="inlineStr">
        <is>
          <t>52</t>
        </is>
      </c>
      <c r="Q426" s="4" t="inlineStr">
        <is>
          <t>expand the REZ transfer capacity from Dinawan by 1,800 MW</t>
        </is>
      </c>
      <c r="R426" s="4" t="inlineStr"/>
      <c r="S426" s="4" t="inlineStr">
        <is>
          <t>Footnotes 103 and 105; based on advice from Transgrid and EnergyCo.</t>
        </is>
      </c>
    </row>
    <row r="427">
      <c r="A427" s="4" t="inlineStr">
        <is>
          <t>VNI West (Victoria)</t>
        </is>
      </c>
      <c r="B427" s="4" t="inlineStr">
        <is>
          <t>VNV-PROJECT-VNI-VIC</t>
        </is>
      </c>
      <c r="C427" s="4" t="inlineStr">
        <is>
          <t>VNV-AO-2026-CIRCUITS</t>
        </is>
      </c>
      <c r="D427" s="4" t="inlineStr">
        <is>
          <t>circuits</t>
        </is>
      </c>
      <c r="E427" s="4" t="inlineStr">
        <is>
          <t>2026-06</t>
        </is>
      </c>
      <c r="F427" s="4" t="inlineStr">
        <is>
          <t>Trunk circuits on the Bulgana - Tragowel - Dinawan line</t>
        </is>
      </c>
      <c r="G427" s="4" t="n">
        <v>2</v>
      </c>
      <c r="H427" s="4" t="inlineStr">
        <is>
          <t>count</t>
        </is>
      </c>
      <c r="I427" s="4" t="n"/>
      <c r="J427" s="4" t="n"/>
      <c r="K427" s="4" t="n"/>
      <c r="L427" s="4" t="inlineStr">
        <is>
          <t>scope description</t>
        </is>
      </c>
      <c r="M427" s="4" t="inlineStr">
        <is>
          <t>VIC-NSW Stage 2 trunk line</t>
        </is>
      </c>
      <c r="N427" s="4" t="inlineStr">
        <is>
          <t>Same double-circuit configuration as the 2024 ISP option 1 description</t>
        </is>
      </c>
      <c r="O427" s="4" t="inlineStr">
        <is>
          <t>HUM-AEMO-2026-ISP-A5</t>
        </is>
      </c>
      <c r="P427" s="4" t="inlineStr">
        <is>
          <t>53</t>
        </is>
      </c>
      <c r="Q427" s="4" t="inlineStr">
        <is>
          <t>A new 500 kV double-circuit overhead line from near Bulgana to Tragowel (near Kerang) 
to Dinawan, including series compensation on the line near Tragowel.</t>
        </is>
      </c>
      <c r="R427" s="4" t="inlineStr">
        <is>
          <t>selected</t>
        </is>
      </c>
      <c r="S427" s="4" t="inlineStr">
        <is>
          <t>Double-circuit read as two circuits on one line.</t>
        </is>
      </c>
    </row>
    <row r="428">
      <c r="A428" s="4" t="inlineStr">
        <is>
          <t>VNI West (Victoria)</t>
        </is>
      </c>
      <c r="B428" s="4" t="inlineStr">
        <is>
          <t>VNV-PROJECT-VNI-VIC</t>
        </is>
      </c>
      <c r="C428" s="4" t="inlineStr">
        <is>
          <t>VNV-AO-2026-LINES</t>
        </is>
      </c>
      <c r="D428" s="4" t="inlineStr">
        <is>
          <t>lines</t>
        </is>
      </c>
      <c r="E428" s="4" t="inlineStr">
        <is>
          <t>2026-06</t>
        </is>
      </c>
      <c r="F428" s="4" t="inlineStr">
        <is>
          <t>Trunk lines on the Bulgana - Tragowel - Dinawan corridor</t>
        </is>
      </c>
      <c r="G428" s="4" t="n">
        <v>1</v>
      </c>
      <c r="H428" s="4" t="inlineStr">
        <is>
          <t>count</t>
        </is>
      </c>
      <c r="I428" s="4" t="n"/>
      <c r="J428" s="4" t="n"/>
      <c r="K428" s="4" t="n"/>
      <c r="L428" s="4" t="inlineStr">
        <is>
          <t>scope description</t>
        </is>
      </c>
      <c r="M428" s="4" t="inlineStr">
        <is>
          <t>VIC-NSW Stage 2 trunk line</t>
        </is>
      </c>
      <c r="N428" s="4" t="inlineStr">
        <is>
          <t>One new line described end to end; no route length is stated</t>
        </is>
      </c>
      <c r="O428" s="4" t="inlineStr">
        <is>
          <t>HUM-AEMO-2026-ISP-A5</t>
        </is>
      </c>
      <c r="P428" s="4" t="inlineStr">
        <is>
          <t>53</t>
        </is>
      </c>
      <c r="Q428" s="4" t="inlineStr">
        <is>
          <t>A new 500 kV double-circuit overhead line from near Bulgana to Tragowel (near Kerang) 
to Dinawan</t>
        </is>
      </c>
      <c r="R428" s="4" t="inlineStr">
        <is>
          <t>selected</t>
        </is>
      </c>
      <c r="S428" s="4" t="inlineStr"/>
    </row>
    <row r="429">
      <c r="A429" s="4" t="inlineStr">
        <is>
          <t>VNI West (Victoria)</t>
        </is>
      </c>
      <c r="B429" s="4" t="inlineStr">
        <is>
          <t>VNV-PROJECT-VNI-VIC</t>
        </is>
      </c>
      <c r="C429" s="4" t="inlineStr">
        <is>
          <t>VNV-AO-2026-TRAGOWEL-TF</t>
        </is>
      </c>
      <c r="D429" s="4" t="inlineStr">
        <is>
          <t>transformers_mva</t>
        </is>
      </c>
      <c r="E429" s="4" t="inlineStr">
        <is>
          <t>2026-06</t>
        </is>
      </c>
      <c r="F429" s="4" t="inlineStr">
        <is>
          <t>Tragowel Terminal Station transformers</t>
        </is>
      </c>
      <c r="G429" s="4" t="n">
        <v>1000</v>
      </c>
      <c r="H429" s="4" t="inlineStr">
        <is>
          <t>MVA</t>
        </is>
      </c>
      <c r="I429" s="4" t="n"/>
      <c r="J429" s="4" t="n"/>
      <c r="K429" s="4" t="n"/>
      <c r="L429" s="4" t="inlineStr">
        <is>
          <t>scope description</t>
        </is>
      </c>
      <c r="M429" s="4" t="inlineStr">
        <is>
          <t>Two 500/220 kV transformers of 1,000 MVA each at the new Tragowel Terminal Station (Victoria)</t>
        </is>
      </c>
      <c r="N429" s="4" t="inlineStr">
        <is>
          <t>Unit rating, not a total; the 2024 ISP describes the same two 1,000 MVA units at a new terminal station near Kerang</t>
        </is>
      </c>
      <c r="O429" s="4" t="inlineStr">
        <is>
          <t>HUM-AEMO-2026-ISP-A5</t>
        </is>
      </c>
      <c r="P429" s="4" t="inlineStr">
        <is>
          <t>53</t>
        </is>
      </c>
      <c r="Q429" s="4" t="inlineStr">
        <is>
          <t>Establish new Tragowel Terminal Station with two 500/220 kV 1,000 MVA transformers.</t>
        </is>
      </c>
      <c r="R429" s="4" t="inlineStr">
        <is>
          <t>selected</t>
        </is>
      </c>
      <c r="S429" s="4" t="inlineStr">
        <is>
          <t>No source states a combined 2,000 MVA figure.</t>
        </is>
      </c>
    </row>
    <row r="430">
      <c r="A430" s="4" t="inlineStr">
        <is>
          <t>VNI West (Victoria)</t>
        </is>
      </c>
      <c r="B430" s="4" t="inlineStr">
        <is>
          <t>VNV-PROJECT-VNI-VIC</t>
        </is>
      </c>
      <c r="C430" s="4" t="inlineStr">
        <is>
          <t>VNV-AO-2024-DINAWAN-TF</t>
        </is>
      </c>
      <c r="D430" s="4" t="inlineStr">
        <is>
          <t>transformers_mva</t>
        </is>
      </c>
      <c r="E430" s="4" t="inlineStr">
        <is>
          <t>2024-06</t>
        </is>
      </c>
      <c r="F430" s="4" t="inlineStr">
        <is>
          <t>Dinawan 500/330 kV transformers, 2024 ISP</t>
        </is>
      </c>
      <c r="G430" s="4" t="n">
        <v>1500</v>
      </c>
      <c r="H430" s="4" t="inlineStr">
        <is>
          <t>MVA</t>
        </is>
      </c>
      <c r="I430" s="4" t="n"/>
      <c r="J430" s="4" t="n"/>
      <c r="K430" s="4" t="n"/>
      <c r="L430" s="4" t="inlineStr">
        <is>
          <t>scope description</t>
        </is>
      </c>
      <c r="M430" s="4" t="inlineStr">
        <is>
          <t>Two 500/330 kV transformers of 1,500 MVA each at the Dinawan 500 kV switchyard (NSW end)</t>
        </is>
      </c>
      <c r="N430" s="4" t="inlineStr">
        <is>
          <t>NSW-end plant; belongs to the NSW chart row, not the Victorian one</t>
        </is>
      </c>
      <c r="O430" s="4" t="inlineStr">
        <is>
          <t>HUM-AEMO-2024-ISP-A5</t>
        </is>
      </c>
      <c r="P430" s="4" t="inlineStr">
        <is>
          <t>45</t>
        </is>
      </c>
      <c r="Q430" s="4" t="inlineStr">
        <is>
          <t>Establish Dinawan 500 kV switchyard with two 500/330 kV 1,500 MVA 
transformers.</t>
        </is>
      </c>
      <c r="R430" s="4" t="inlineStr"/>
      <c r="S430" s="4" t="inlineStr"/>
    </row>
    <row r="431">
      <c r="A431" s="4" t="inlineStr">
        <is>
          <t>VNI West (Victoria)</t>
        </is>
      </c>
      <c r="B431" s="4" t="inlineStr">
        <is>
          <t>VNV-PROJECT-VNI-VIC</t>
        </is>
      </c>
      <c r="C431" s="4" t="inlineStr">
        <is>
          <t>VNV-AO-2026-DINAWAN-TF</t>
        </is>
      </c>
      <c r="D431" s="4" t="inlineStr">
        <is>
          <t>transformers_mva</t>
        </is>
      </c>
      <c r="E431" s="4" t="inlineStr">
        <is>
          <t>2026-06</t>
        </is>
      </c>
      <c r="F431" s="4" t="inlineStr">
        <is>
          <t>Dinawan 500/330 kV transformers, 2026 ISP</t>
        </is>
      </c>
      <c r="G431" s="4" t="n">
        <v>1500</v>
      </c>
      <c r="H431" s="4" t="inlineStr">
        <is>
          <t>MVA</t>
        </is>
      </c>
      <c r="I431" s="4" t="n"/>
      <c r="J431" s="4" t="n"/>
      <c r="K431" s="4" t="n"/>
      <c r="L431" s="4" t="inlineStr">
        <is>
          <t>scope description</t>
        </is>
      </c>
      <c r="M431" s="4" t="inlineStr">
        <is>
          <t>Three 500/330 kV transformers of 1,500 MVA each at the Dinawan 500 kV switchyard, the third being the separately modelled N5 Option 2</t>
        </is>
      </c>
      <c r="N431" s="4" t="inlineStr">
        <is>
          <t>The reported $7,600m includes two transformers only; the third is the $116m increment</t>
        </is>
      </c>
      <c r="O431" s="4" t="inlineStr">
        <is>
          <t>HUM-AEMO-2026-ISP-A5</t>
        </is>
      </c>
      <c r="P431" s="4" t="inlineStr">
        <is>
          <t>52</t>
        </is>
      </c>
      <c r="Q431" s="4" t="inlineStr">
        <is>
          <t>Establish Dinawan 500 kV switchyard with three103 500/330 kV 1,500 MVA transformers.</t>
        </is>
      </c>
      <c r="R431" s="4" t="inlineStr"/>
      <c r="S431" s="4" t="inlineStr"/>
    </row>
    <row r="432">
      <c r="A432" s="4" t="inlineStr">
        <is>
          <t>VNI West (Victoria)</t>
        </is>
      </c>
      <c r="B432" s="4" t="inlineStr">
        <is>
          <t>VNV-PROJECT-VNI-VIC</t>
        </is>
      </c>
      <c r="C432" s="4" t="inlineStr">
        <is>
          <t>VNV-AO-2026-REACTIVE</t>
        </is>
      </c>
      <c r="D432" s="4" t="inlineStr">
        <is>
          <t>other</t>
        </is>
      </c>
      <c r="E432" s="4" t="inlineStr">
        <is>
          <t>2026-06</t>
        </is>
      </c>
      <c r="F432" s="4" t="inlineStr">
        <is>
          <t>Dynamic reactive compensation at Tragowel</t>
        </is>
      </c>
      <c r="G432" s="4" t="n">
        <v>400</v>
      </c>
      <c r="H432" s="4" t="inlineStr">
        <is>
          <t>MVAr</t>
        </is>
      </c>
      <c r="I432" s="4" t="n"/>
      <c r="J432" s="4" t="n"/>
      <c r="K432" s="4" t="n"/>
      <c r="L432" s="4" t="inlineStr">
        <is>
          <t>scope description</t>
        </is>
      </c>
      <c r="M432" s="4" t="inlineStr">
        <is>
          <t>Up to +/- 400 MVAr at the new 220 kV Tragowel Terminal Station; not a synchronous condenser</t>
        </is>
      </c>
      <c r="N432" s="4" t="inlineStr">
        <is>
          <t>Reactive plant, not synchronous condenser MVA; the chart's syncons cell has no source</t>
        </is>
      </c>
      <c r="O432" s="4" t="inlineStr">
        <is>
          <t>HUM-AEMO-2026-ISP-A5</t>
        </is>
      </c>
      <c r="P432" s="4" t="inlineStr">
        <is>
          <t>53</t>
        </is>
      </c>
      <c r="Q432" s="4" t="inlineStr">
        <is>
          <t>Up to +/- 400 MVAr dynamic reactive compensation at the new 220 kV Tragowel</t>
        </is>
      </c>
      <c r="R432" s="4" t="inlineStr"/>
      <c r="S432" s="4" t="inlineStr"/>
    </row>
    <row r="433">
      <c r="A433" s="4" t="inlineStr">
        <is>
          <t>VNI West (Victoria)</t>
        </is>
      </c>
      <c r="B433" s="4" t="inlineStr">
        <is>
          <t>VNV-PROJECT-VNI-VIC</t>
        </is>
      </c>
      <c r="C433" s="4" t="inlineStr">
        <is>
          <t>VNV-AO-2026-VOLTAGE</t>
        </is>
      </c>
      <c r="D433" s="4" t="inlineStr">
        <is>
          <t>voltage</t>
        </is>
      </c>
      <c r="E433" s="4" t="inlineStr">
        <is>
          <t>2026-06</t>
        </is>
      </c>
      <c r="F433" s="4" t="inlineStr">
        <is>
          <t>Interconnector voltage</t>
        </is>
      </c>
      <c r="G433" s="4" t="n">
        <v>500</v>
      </c>
      <c r="H433" s="4" t="inlineStr">
        <is>
          <t>kV</t>
        </is>
      </c>
      <c r="I433" s="4" t="n"/>
      <c r="J433" s="4" t="n"/>
      <c r="K433" s="4" t="n"/>
      <c r="L433" s="4" t="inlineStr">
        <is>
          <t>scope description</t>
        </is>
      </c>
      <c r="M433" s="4" t="inlineStr">
        <is>
          <t>Whole VNI West interconnector</t>
        </is>
      </c>
      <c r="N433" s="4" t="inlineStr">
        <is>
          <t>Consistent across the 2022, 2024 and 2026 ISPs</t>
        </is>
      </c>
      <c r="O433" s="4" t="inlineStr">
        <is>
          <t>HUM-AEMO-2026-ISP-A5</t>
        </is>
      </c>
      <c r="P433" s="4" t="inlineStr">
        <is>
          <t>51</t>
        </is>
      </c>
      <c r="Q433" s="4" t="inlineStr">
        <is>
          <t>VNI West is a proposed 500 kV interconnector from near Bulgana in Victoria to Dinawan in south-west New South Wales.</t>
        </is>
      </c>
      <c r="R433" s="4" t="inlineStr"/>
      <c r="S433" s="4" t="inlineStr"/>
    </row>
    <row r="434">
      <c r="A434" s="4" t="inlineStr">
        <is>
          <t>VNI West (Victoria)</t>
        </is>
      </c>
      <c r="B434" s="4" t="inlineStr">
        <is>
          <t>VNV-PROJECT-VNI-VIC</t>
        </is>
      </c>
      <c r="C434" s="4" t="inlineStr">
        <is>
          <t>VNV-AO-2026-COMPLETION</t>
        </is>
      </c>
      <c r="D434" s="4" t="inlineStr">
        <is>
          <t>completion</t>
        </is>
      </c>
      <c r="E434" s="4" t="inlineStr">
        <is>
          <t>2026-06</t>
        </is>
      </c>
      <c r="F434" s="4" t="inlineStr">
        <is>
          <t>Proponent-advised timing for the VIC-NSW component</t>
        </is>
      </c>
      <c r="G434" s="4" t="inlineStr">
        <is>
          <t>2031-11</t>
        </is>
      </c>
      <c r="H434" s="4" t="inlineStr">
        <is>
          <t>date</t>
        </is>
      </c>
      <c r="I434" s="4" t="n"/>
      <c r="J434" s="4" t="n"/>
      <c r="K434" s="4" t="inlineStr">
        <is>
          <t>Proponent advice, not a commitment</t>
        </is>
      </c>
      <c r="L434" s="4" t="inlineStr">
        <is>
          <t>timing advised by proponent</t>
        </is>
      </c>
      <c r="M434" s="4" t="inlineStr">
        <is>
          <t>VIC-NSW (Bulgana - Kerang - Dinawan) Stage 2</t>
        </is>
      </c>
      <c r="N434" s="4" t="inlineStr">
        <is>
          <t>The South West NSW REZ Stage 1 component carries a separate advised timing of August 2029</t>
        </is>
      </c>
      <c r="O434" s="4" t="inlineStr">
        <is>
          <t>HUM-AEMO-2026-ISP-A5</t>
        </is>
      </c>
      <c r="P434" s="4" t="inlineStr">
        <is>
          <t>53</t>
        </is>
      </c>
      <c r="Q434" s="4" t="inlineStr">
        <is>
          <t>VIC-NSW: November 2031.</t>
        </is>
      </c>
      <c r="R434" s="4" t="inlineStr">
        <is>
          <t>selected</t>
        </is>
      </c>
      <c r="S434" s="4" t="inlineStr"/>
    </row>
    <row r="435">
      <c r="A435" s="4" t="inlineStr">
        <is>
          <t>VNI West (Victoria)</t>
        </is>
      </c>
      <c r="B435" s="4" t="inlineStr">
        <is>
          <t>VNV-PROJECT-VNI-VIC</t>
        </is>
      </c>
      <c r="C435" s="4" t="inlineStr">
        <is>
          <t>VNV-AO-2026-COMPLETION-N5</t>
        </is>
      </c>
      <c r="D435" s="4" t="inlineStr">
        <is>
          <t>completion</t>
        </is>
      </c>
      <c r="E435" s="4" t="inlineStr">
        <is>
          <t>2026-06</t>
        </is>
      </c>
      <c r="F435" s="4" t="inlineStr">
        <is>
          <t>Proponent-advised timing for the South West NSW REZ component</t>
        </is>
      </c>
      <c r="G435" s="4" t="inlineStr">
        <is>
          <t>2029-08</t>
        </is>
      </c>
      <c r="H435" s="4" t="inlineStr">
        <is>
          <t>date</t>
        </is>
      </c>
      <c r="I435" s="4" t="n"/>
      <c r="J435" s="4" t="n"/>
      <c r="K435" s="4" t="inlineStr">
        <is>
          <t>Proponent advice, revised from an assumed June 2030</t>
        </is>
      </c>
      <c r="L435" s="4" t="inlineStr">
        <is>
          <t>timing advised by proponent</t>
        </is>
      </c>
      <c r="M435" s="4" t="inlineStr">
        <is>
          <t>South West NSW REZ Stage 1 (NSW end)</t>
        </is>
      </c>
      <c r="N435" s="4" t="inlineStr">
        <is>
          <t>NSW-end timing; the 2026 ISP nonetheless finds single integrated delivery more efficient than staging</t>
        </is>
      </c>
      <c r="O435" s="4" t="inlineStr">
        <is>
          <t>HUM-AEMO-2026-ISP-A5</t>
        </is>
      </c>
      <c r="P435" s="4" t="inlineStr">
        <is>
          <t>52</t>
        </is>
      </c>
      <c r="Q435" s="4" t="inlineStr">
        <is>
          <t>South West NSW REZ: 
August 2029107</t>
        </is>
      </c>
      <c r="R435" s="4" t="inlineStr"/>
      <c r="S435" s="4" t="inlineStr"/>
    </row>
    <row r="436">
      <c r="A436" s="4" t="inlineStr">
        <is>
          <t>VNI West (Victoria)</t>
        </is>
      </c>
      <c r="B436" s="4" t="inlineStr">
        <is>
          <t>VNV-PROJECT-VNI-VIC</t>
        </is>
      </c>
      <c r="C436" s="4" t="inlineStr">
        <is>
          <t>VNV-AO-2024-COMPLETION</t>
        </is>
      </c>
      <c r="D436" s="4" t="inlineStr">
        <is>
          <t>completion</t>
        </is>
      </c>
      <c r="E436" s="4" t="inlineStr">
        <is>
          <t>2024-06</t>
        </is>
      </c>
      <c r="F436" s="4" t="inlineStr">
        <is>
          <t>PACR capacity release date as reported in the 2024 ISP</t>
        </is>
      </c>
      <c r="G436" s="4" t="inlineStr">
        <is>
          <t>2029-12</t>
        </is>
      </c>
      <c r="H436" s="4" t="inlineStr">
        <is>
          <t>date</t>
        </is>
      </c>
      <c r="I436" s="4" t="n"/>
      <c r="J436" s="4" t="n"/>
      <c r="K436" s="4" t="inlineStr">
        <is>
          <t>ISP optimal timing varied by scenario (2029-30 to 2034-35)</t>
        </is>
      </c>
      <c r="L436" s="4" t="inlineStr">
        <is>
          <t>reported PACR date / superseded</t>
        </is>
      </c>
      <c r="M436" s="4" t="inlineStr">
        <is>
          <t>Whole VNI West option 1</t>
        </is>
      </c>
      <c r="N436" s="4" t="inlineStr">
        <is>
          <t>Reported second-hand from the unavailable PACR; superseded by the 2026 November 2031 advice</t>
        </is>
      </c>
      <c r="O436" s="4" t="inlineStr">
        <is>
          <t>HUM-AEMO-2024-ISP-A5</t>
        </is>
      </c>
      <c r="P436" s="4" t="inlineStr">
        <is>
          <t>44</t>
        </is>
      </c>
      <c r="Q436" s="4" t="inlineStr">
        <is>
          <t>The capacity 
release date identified in the PACR is December 2029.</t>
        </is>
      </c>
      <c r="R436" s="4" t="inlineStr"/>
      <c r="S436" s="4" t="inlineStr">
        <is>
          <t>The PACR is now archived (VNV-TRANSGRID-2023-PACR) but its text does not use the phrase 'capacity release date'; the PACR instead states a headline commissioning date of 1 July 2031 in the Step Change scenario (p84), matching VNV-AO-2023-DELIVERY-JULY2031. This December 2029 figure remains sourced only from the 2024 ISP's characterisation of the PACR.</t>
        </is>
      </c>
    </row>
    <row r="437">
      <c r="A437" s="4" t="inlineStr">
        <is>
          <t>VNI West (Victoria)</t>
        </is>
      </c>
      <c r="B437" s="4" t="inlineStr">
        <is>
          <t>VNV-PROJECT-VNI-VIC</t>
        </is>
      </c>
      <c r="C437" s="4" t="inlineStr">
        <is>
          <t>VNV-AO-2023-ORDER-CIRCUITS</t>
        </is>
      </c>
      <c r="D437" s="4" t="inlineStr">
        <is>
          <t>circuits</t>
        </is>
      </c>
      <c r="E437" s="4" t="inlineStr">
        <is>
          <t>2023-05</t>
        </is>
      </c>
      <c r="F437" s="4" t="inlineStr">
        <is>
          <t>VNI West preferred option (Option 5A) trunk line, s16Y Ministerial Order Schedule 1</t>
        </is>
      </c>
      <c r="G437" s="4" t="n">
        <v>2</v>
      </c>
      <c r="H437" s="4" t="inlineStr">
        <is>
          <t>count</t>
        </is>
      </c>
      <c r="I437" s="4" t="n"/>
      <c r="J437" s="4" t="n"/>
      <c r="K437" s="4" t="n"/>
      <c r="L437" s="4" t="inlineStr">
        <is>
          <t>specified augmentation (statutory scope)</t>
        </is>
      </c>
      <c r="M437" s="4" t="inlineStr">
        <is>
          <t>VNI West preferred option (Option 5A) as specified in Schedule 1 of the s16Y Order</t>
        </is>
      </c>
      <c r="N437" s="4" t="inlineStr">
        <is>
          <t>Earliest statutory description of the same double-circuit line later carried through the 2024 and 2026 ISPs</t>
        </is>
      </c>
      <c r="O437" s="4" t="inlineStr">
        <is>
          <t>VNV-VIC-GAZETTE-2023-S267</t>
        </is>
      </c>
      <c r="P437" s="4" t="inlineStr">
        <is>
          <t>7</t>
        </is>
      </c>
      <c r="Q437" s="4" t="inlineStr">
        <is>
          <t>Construction of a new 500 kV double-circuit overhead line from a new terminal station near 
Kerang to Dinawan crossing the Murray river north of Kerang to Bulgana Terminal Station (BGTS)</t>
        </is>
      </c>
      <c r="R437" s="4" t="inlineStr"/>
      <c r="S437" s="4" t="inlineStr">
        <is>
          <t>This is the NEVA order the earlier version of this pack recorded as unavailable.</t>
        </is>
      </c>
    </row>
    <row r="438">
      <c r="A438" s="4" t="inlineStr">
        <is>
          <t>VNI West (Victoria)</t>
        </is>
      </c>
      <c r="B438" s="4" t="inlineStr">
        <is>
          <t>VNV-PROJECT-VNI-VIC</t>
        </is>
      </c>
      <c r="C438" s="4" t="inlineStr">
        <is>
          <t>VNV-AO-2023-ORDER-LINE</t>
        </is>
      </c>
      <c r="D438" s="4" t="inlineStr">
        <is>
          <t>lines</t>
        </is>
      </c>
      <c r="E438" s="4" t="inlineStr">
        <is>
          <t>2023-05</t>
        </is>
      </c>
      <c r="F438" s="4" t="inlineStr">
        <is>
          <t>VNI West preferred option (Option 5A) new trunk line, s16Y Ministerial Order Schedule 1</t>
        </is>
      </c>
      <c r="G438" s="4" t="n">
        <v>1</v>
      </c>
      <c r="H438" s="4" t="inlineStr">
        <is>
          <t>count</t>
        </is>
      </c>
      <c r="I438" s="4" t="n"/>
      <c r="J438" s="4" t="n"/>
      <c r="K438" s="4" t="n"/>
      <c r="L438" s="4" t="inlineStr">
        <is>
          <t>specified augmentation (statutory scope)</t>
        </is>
      </c>
      <c r="M438" s="4" t="inlineStr">
        <is>
          <t>VNI West preferred option (Option 5A) as specified in Schedule 1 of the s16Y Order</t>
        </is>
      </c>
      <c r="N438" s="4" t="inlineStr">
        <is>
          <t>One new statutory line spanning Bulgana - near Kerang - Dinawan; no route length is stated</t>
        </is>
      </c>
      <c r="O438" s="4" t="inlineStr">
        <is>
          <t>VNV-VIC-GAZETTE-2023-S267</t>
        </is>
      </c>
      <c r="P438" s="4" t="inlineStr">
        <is>
          <t>7</t>
        </is>
      </c>
      <c r="Q438" s="4" t="inlineStr">
        <is>
          <t>Construction of a new 500 kV double-circuit overhead line from a new terminal station near 
Kerang to Dinawan crossing the Murray river north of Kerang to Bulgana Terminal Station (BGTS)</t>
        </is>
      </c>
      <c r="R438" s="4" t="inlineStr"/>
      <c r="S438" s="4" t="inlineStr"/>
    </row>
    <row r="439">
      <c r="A439" s="4" t="inlineStr">
        <is>
          <t>VNI West (Victoria)</t>
        </is>
      </c>
      <c r="B439" s="4" t="inlineStr">
        <is>
          <t>VNV-PROJECT-VNI-VIC</t>
        </is>
      </c>
      <c r="C439" s="4" t="inlineStr">
        <is>
          <t>VNV-AO-2023-ORDER-VOLTAGE</t>
        </is>
      </c>
      <c r="D439" s="4" t="inlineStr">
        <is>
          <t>voltage</t>
        </is>
      </c>
      <c r="E439" s="4" t="inlineStr">
        <is>
          <t>2023-05</t>
        </is>
      </c>
      <c r="F439" s="4" t="inlineStr">
        <is>
          <t>VNI West interconnector voltage, s16Y Ministerial Order Schedule 1</t>
        </is>
      </c>
      <c r="G439" s="4" t="n">
        <v>500</v>
      </c>
      <c r="H439" s="4" t="inlineStr">
        <is>
          <t>kV</t>
        </is>
      </c>
      <c r="I439" s="4" t="n"/>
      <c r="J439" s="4" t="n"/>
      <c r="K439" s="4" t="n"/>
      <c r="L439" s="4" t="inlineStr">
        <is>
          <t>specified augmentation (statutory scope)</t>
        </is>
      </c>
      <c r="M439" s="4" t="inlineStr">
        <is>
          <t>VNI West preferred option (Option 5A)</t>
        </is>
      </c>
      <c r="N439" s="4" t="inlineStr">
        <is>
          <t>Consistent with the 500 kV stated in the 2022, 2024 and 2026 ISPs</t>
        </is>
      </c>
      <c r="O439" s="4" t="inlineStr">
        <is>
          <t>VNV-VIC-GAZETTE-2023-S267</t>
        </is>
      </c>
      <c r="P439" s="4" t="inlineStr">
        <is>
          <t>7</t>
        </is>
      </c>
      <c r="Q439" s="4" t="inlineStr">
        <is>
          <t>a new 500 kV double-circuit overhead line</t>
        </is>
      </c>
      <c r="R439" s="4" t="inlineStr"/>
      <c r="S439" s="4" t="inlineStr"/>
    </row>
    <row r="440">
      <c r="A440" s="4" t="inlineStr">
        <is>
          <t>VNI West (Victoria)</t>
        </is>
      </c>
      <c r="B440" s="4" t="inlineStr">
        <is>
          <t>VNV-PROJECT-VNI-VIC</t>
        </is>
      </c>
      <c r="C440" s="4" t="inlineStr">
        <is>
          <t>VNV-AO-2023-ORDER-KERANG-TF</t>
        </is>
      </c>
      <c r="D440" s="4" t="inlineStr">
        <is>
          <t>transformers_mva</t>
        </is>
      </c>
      <c r="E440" s="4" t="inlineStr">
        <is>
          <t>2023-05</t>
        </is>
      </c>
      <c r="F440" s="4" t="inlineStr">
        <is>
          <t>New Kerang-area terminal station transformers, s16Y Ministerial Order Schedule 1</t>
        </is>
      </c>
      <c r="G440" s="4" t="n">
        <v>1000</v>
      </c>
      <c r="H440" s="4" t="inlineStr">
        <is>
          <t>MVA</t>
        </is>
      </c>
      <c r="I440" s="4" t="n"/>
      <c r="J440" s="4" t="n"/>
      <c r="K440" s="4" t="n"/>
      <c r="L440" s="4" t="inlineStr">
        <is>
          <t>specified augmentation (statutory scope)</t>
        </is>
      </c>
      <c r="M440" s="4" t="inlineStr">
        <is>
          <t>Two 500/220 kV transformers of 1,000 MVA each at the new terminal station near Kerang specified in Schedule 1 (the station later named Tragowel Terminal Station in the 2026 ISP)</t>
        </is>
      </c>
      <c r="N440" s="4" t="inlineStr">
        <is>
          <t>Same unit rating the 2024 and 2026 ISPs later state for the Kerang-area/Tragowel terminal station</t>
        </is>
      </c>
      <c r="O440" s="4" t="inlineStr">
        <is>
          <t>VNV-VIC-GAZETTE-2023-S267</t>
        </is>
      </c>
      <c r="P440" s="4" t="inlineStr">
        <is>
          <t>7</t>
        </is>
      </c>
      <c r="Q440" s="4" t="inlineStr">
        <is>
          <t>Construction of a new terminal station near Kerang, with two 500/220 kV 1,000 MV A transformers 
and up to +/- 400 MV Ar dynamic reactive compensation on the 220 kV network.</t>
        </is>
      </c>
      <c r="R440" s="4" t="inlineStr"/>
      <c r="S440" s="4" t="inlineStr">
        <is>
          <t>Source text renders 'MVA'/'MVAr' with an internal space ('MV A', 'MV Ar'); reproduced verbatim.</t>
        </is>
      </c>
    </row>
    <row r="441">
      <c r="A441" s="4" t="inlineStr">
        <is>
          <t>VNI West (Victoria)</t>
        </is>
      </c>
      <c r="B441" s="4" t="inlineStr">
        <is>
          <t>VNV-PROJECT-VNI-VIC</t>
        </is>
      </c>
      <c r="C441" s="4" t="inlineStr">
        <is>
          <t>VNV-AO-2023-ORDER-REACTIVE</t>
        </is>
      </c>
      <c r="D441" s="4" t="inlineStr">
        <is>
          <t>other</t>
        </is>
      </c>
      <c r="E441" s="4" t="inlineStr">
        <is>
          <t>2023-05</t>
        </is>
      </c>
      <c r="F441" s="4" t="inlineStr">
        <is>
          <t>Dynamic reactive compensation at the new Kerang-area terminal station, s16Y Ministerial Order Schedule 1</t>
        </is>
      </c>
      <c r="G441" s="4" t="n">
        <v>400</v>
      </c>
      <c r="H441" s="4" t="inlineStr">
        <is>
          <t>MVAr</t>
        </is>
      </c>
      <c r="I441" s="4" t="n"/>
      <c r="J441" s="4" t="n"/>
      <c r="K441" s="4" t="n"/>
      <c r="L441" s="4" t="inlineStr">
        <is>
          <t>specified augmentation (statutory scope)</t>
        </is>
      </c>
      <c r="M441" s="4" t="inlineStr">
        <is>
          <t>Up to +/- 400 MVAr dynamic reactive compensation on the 220 kV network at the new terminal station near Kerang; not a synchronous condenser</t>
        </is>
      </c>
      <c r="N441" s="4" t="inlineStr">
        <is>
          <t>Same figure the 2026 ISP later states for the Tragowel Terminal Station</t>
        </is>
      </c>
      <c r="O441" s="4" t="inlineStr">
        <is>
          <t>VNV-VIC-GAZETTE-2023-S267</t>
        </is>
      </c>
      <c r="P441" s="4" t="inlineStr">
        <is>
          <t>7</t>
        </is>
      </c>
      <c r="Q441" s="4" t="inlineStr">
        <is>
          <t>and up to +/- 400 MV Ar dynamic reactive compensation on the 220 kV network</t>
        </is>
      </c>
      <c r="R441" s="4" t="inlineStr"/>
      <c r="S441" s="4" t="inlineStr">
        <is>
          <t>Source text renders 'MVAr' with an internal space ('MV Ar'); reproduced verbatim.</t>
        </is>
      </c>
    </row>
    <row r="442">
      <c r="A442" s="4" t="inlineStr">
        <is>
          <t>VNI West (Victoria)</t>
        </is>
      </c>
      <c r="B442" s="4" t="inlineStr">
        <is>
          <t>VNV-PROJECT-VNI-VIC</t>
        </is>
      </c>
      <c r="C442" s="4" t="inlineStr">
        <is>
          <t>VNV-AO-2023-DELIVERY-JULY2031</t>
        </is>
      </c>
      <c r="D442" s="4" t="inlineStr">
        <is>
          <t>completion</t>
        </is>
      </c>
      <c r="E442" s="4" t="inlineStr">
        <is>
          <t>2023-05</t>
        </is>
      </c>
      <c r="F442" s="4" t="inlineStr">
        <is>
          <t>2022 ISP schedule delivery date for VNI West, as quoted in the s16Y Order's reasons</t>
        </is>
      </c>
      <c r="G442" s="4" t="inlineStr">
        <is>
          <t>2031-07</t>
        </is>
      </c>
      <c r="H442" s="4" t="inlineStr">
        <is>
          <t>date</t>
        </is>
      </c>
      <c r="I442" s="4" t="n"/>
      <c r="J442" s="4" t="n"/>
      <c r="K442" s="4" t="inlineStr">
        <is>
          <t>Earliest practical delivery time advised by project proponents, per the quoted 2022 ISP</t>
        </is>
      </c>
      <c r="L442" s="4" t="inlineStr">
        <is>
          <t>quoted in statutory reasons</t>
        </is>
      </c>
      <c r="M442" s="4" t="inlineStr">
        <is>
          <t>Whole VNI West project, as reported by AEMO's 2022 ISP and quoted in the Minister's reasons for the Order</t>
        </is>
      </c>
      <c r="N442" s="4" t="inlineStr">
        <is>
          <t>The Order quotes the same July 2031 date already in this pack's 2022 ISP timeline entry; superseded in later ISPs by the November 2031 VIC-NSW advice</t>
        </is>
      </c>
      <c r="O442" s="4" t="inlineStr">
        <is>
          <t>VNV-VIC-GAZETTE-2023-S267</t>
        </is>
      </c>
      <c r="P442" s="4" t="inlineStr">
        <is>
          <t>10</t>
        </is>
      </c>
      <c r="Q442" s="4" t="inlineStr">
        <is>
          <t>with a schedule delivery date of July 2031</t>
        </is>
      </c>
      <c r="R442" s="4" t="inlineStr"/>
      <c r="S442" s="4" t="inlineStr">
        <is>
          <t>Not an independent estimate; the Minister is quoting AEMO's 2022 ISP page 67.</t>
        </is>
      </c>
    </row>
    <row r="443">
      <c r="A443" s="4" t="inlineStr">
        <is>
          <t>VNI West (Victoria)</t>
        </is>
      </c>
      <c r="B443" s="4" t="inlineStr">
        <is>
          <t>VNV-PROJECT-VNI-VIC</t>
        </is>
      </c>
      <c r="C443" s="4" t="inlineStr">
        <is>
          <t>VNV-AO-2026-EASEMENT-WIDTH</t>
        </is>
      </c>
      <c r="D443" s="4" t="inlineStr">
        <is>
          <t>other</t>
        </is>
      </c>
      <c r="E443" s="4" t="inlineStr">
        <is>
          <t>2026-09</t>
        </is>
      </c>
      <c r="F443" s="4" t="inlineStr">
        <is>
          <t>Preferred easement width in Victoria</t>
        </is>
      </c>
      <c r="G443" s="4" t="n">
        <v>70</v>
      </c>
      <c r="H443" s="4" t="inlineStr">
        <is>
          <t>m</t>
        </is>
      </c>
      <c r="I443" s="4" t="n"/>
      <c r="J443" s="4" t="n"/>
      <c r="K443" s="4" t="n"/>
      <c r="L443" s="4" t="inlineStr">
        <is>
          <t>proponent-current status</t>
        </is>
      </c>
      <c r="M443" s="4" t="inlineStr">
        <is>
          <t>Victorian portion of the route, Bulgana to near Kerang and across into NSW</t>
        </is>
      </c>
      <c r="N443" s="4" t="inlineStr">
        <is>
          <t>An easement width, not a route length; no source states the route's length in km</t>
        </is>
      </c>
      <c r="O443" s="4" t="inlineStr">
        <is>
          <t>VNV-VNIW-2026-OVERVIEW</t>
        </is>
      </c>
      <c r="P443" s="4" t="inlineStr">
        <is>
          <t>web</t>
        </is>
      </c>
      <c r="Q443" s="4" t="inlineStr">
        <is>
          <t>a preferred easement of 70m wide along most of the route has been identified</t>
        </is>
      </c>
      <c r="R443" s="4" t="inlineStr"/>
      <c r="S443" s="4" t="inlineStr">
        <is>
          <t>Web capture has no page markers; pinpoint recorded as 'web'.</t>
        </is>
      </c>
    </row>
    <row r="444">
      <c r="A444" s="4" t="inlineStr">
        <is>
          <t>VNI West (Victoria)</t>
        </is>
      </c>
      <c r="B444" s="4" t="inlineStr">
        <is>
          <t>VNV-PROJECT-VNI-VIC</t>
        </is>
      </c>
      <c r="C444" s="4" t="inlineStr">
        <is>
          <t>VNV-AO-2023-PACR-COST</t>
        </is>
      </c>
      <c r="D444" s="4" t="inlineStr">
        <is>
          <t>cost</t>
        </is>
      </c>
      <c r="E444" s="4" t="inlineStr">
        <is>
          <t>2023-05</t>
        </is>
      </c>
      <c r="F444" s="4" t="inlineStr">
        <is>
          <t>PACR Option 5A (preferred option) estimated capital cost</t>
        </is>
      </c>
      <c r="G444" s="4" t="n">
        <v>3499</v>
      </c>
      <c r="H444" s="4" t="inlineStr">
        <is>
          <t>AUD million</t>
        </is>
      </c>
      <c r="I444" s="4" t="inlineStr">
        <is>
          <t>June 2021 real dollars (FY2020-21 dollars)</t>
        </is>
      </c>
      <c r="J444" s="4" t="inlineStr">
        <is>
          <t>Class 4</t>
        </is>
      </c>
      <c r="K444" s="4" t="inlineStr">
        <is>
          <t>±30%</t>
        </is>
      </c>
      <c r="L444" s="4" t="inlineStr">
        <is>
          <t>RIT-T preferred-option estimate</t>
        </is>
      </c>
      <c r="M444" s="4" t="inlineStr">
        <is>
          <t>Whole Option 5A (Bulgana - near Kerang - Dinawan), Victoria and New South Wales combined</t>
        </is>
      </c>
      <c r="N444" s="4" t="inlineStr">
        <is>
          <t>Primary-source figure behind the 2024 ISP's $3,499m quoted cost (VNV-AO-2024-ISP-OPT1-COST); the PACR's own text splits the total into $1,755m Victoria / $1,744m New South Wales, but this pack does not promote that split into a Victoria-only headline (see AUTHOR_DECISION_REQUIRED warning) because it is a different vintage, price basis and estimate scope than the 2026 ISP's $7,600m reported total used for the chart cell.</t>
        </is>
      </c>
      <c r="O444" s="4" t="inlineStr">
        <is>
          <t>VNV-TRANSGRID-2023-PACR</t>
        </is>
      </c>
      <c r="P444" s="4" t="inlineStr">
        <is>
          <t>88</t>
        </is>
      </c>
      <c r="Q444" s="4" t="inlineStr">
        <is>
          <t>The estimated capital cost of Option 5A is approximately $3,499 million (June 2021 real dollars), which is 
comprised of $1,755 million in Victoria and $1,744 million in New South Wales.</t>
        </is>
      </c>
      <c r="R444" s="4" t="inlineStr"/>
      <c r="S444" s="4" t="inlineStr">
        <is>
          <t>Estimate accuracy of ±30% ('Class 4' under the AACE classification) is stated separately on p49; FY2020-21 dollars basis stated in footnote 77 on p47. The Victoria/NSW split figures ($1,755m / $1,744m) also appear in Table 6 on p48 ('Total (by state) 1,651 1,755 1,744 1,755').</t>
        </is>
      </c>
    </row>
    <row r="445">
      <c r="A445" s="4" t="inlineStr">
        <is>
          <t>VNI West (Victoria)</t>
        </is>
      </c>
      <c r="B445" s="4" t="inlineStr">
        <is>
          <t>VNV-PROJECT-VNI-VIC</t>
        </is>
      </c>
      <c r="C445" s="4" t="inlineStr">
        <is>
          <t>VNV-AO-2023-PACR-ROUTE-LENGTH</t>
        </is>
      </c>
      <c r="D445" s="4" t="inlineStr">
        <is>
          <t>trunk_km</t>
        </is>
      </c>
      <c r="E445" s="4" t="inlineStr">
        <is>
          <t>2023-05</t>
        </is>
      </c>
      <c r="F445" s="4" t="inlineStr">
        <is>
          <t>PACR Option 5A approximate line length, Victorian portion</t>
        </is>
      </c>
      <c r="G445" s="4" t="n">
        <v>206</v>
      </c>
      <c r="H445" s="4" t="inlineStr">
        <is>
          <t>km</t>
        </is>
      </c>
      <c r="I445" s="4" t="n"/>
      <c r="J445" s="4" t="n"/>
      <c r="K445" s="4" t="inlineStr">
        <is>
          <t>Indicative only; route not yet determined, length taken as the centre of the area of interest</t>
        </is>
      </c>
      <c r="L445" s="4" t="inlineStr">
        <is>
          <t>RIT-T preferred-option indicative length</t>
        </is>
      </c>
      <c r="M445" s="4" t="inlineStr">
        <is>
          <t>Victorian portion of Option 5A's approximate line length between EnergyConnect (at Dinawan) and the WRL connection point; the New South Wales portion is stated separately as 203 km</t>
        </is>
      </c>
      <c r="N445" s="4" t="inlineStr">
        <is>
          <t>Table 6 columns run Option 5 NSW / Option 5A VIC then Option 5A NSW / Option 5A VIC in that order (184=Opt5 NSW, 205=Opt5 VIC, 203=Opt5A NSW, 206=Opt5A VIC); footnote A: 'Approximate line length is the indicative total length (in kilometres) of lines between EnergyConnect (at Dinawan) and the connection point to WRL. As a route has not yet been determined, line length has been taken as the centre of the area of interest.' Not comparable with the PADR's whole-route 400 km figure for the earlier, superseded Option 1 route.</t>
        </is>
      </c>
      <c r="O445" s="4" t="inlineStr">
        <is>
          <t>VNV-TRANSGRID-2023-PACR</t>
        </is>
      </c>
      <c r="P445" s="4" t="inlineStr">
        <is>
          <t>48</t>
        </is>
      </c>
      <c r="Q445" s="4" t="inlineStr">
        <is>
          <t>Approximate line length A 184 km 205 km 203 km 206 km</t>
        </is>
      </c>
      <c r="R445" s="4" t="inlineStr">
        <is>
          <t>selected</t>
        </is>
      </c>
      <c r="S445" s="4" t="inlineStr">
        <is>
          <t>Closes the chart's trunk_km gap with a Victorian-portion boundary; do not combine with the whole-interconnector $7,600m or $3.7bn chart cost to compute millions_per_trunk_km.</t>
        </is>
      </c>
    </row>
    <row r="446">
      <c r="A446" s="4" t="inlineStr">
        <is>
          <t>VNI West (Victoria)</t>
        </is>
      </c>
      <c r="B446" s="4" t="inlineStr">
        <is>
          <t>VNV-PROJECT-VNI-VIC</t>
        </is>
      </c>
      <c r="C446" s="4" t="inlineStr">
        <is>
          <t>VNV-AO-2023-PACR-CAP-VIC-NSW</t>
        </is>
      </c>
      <c r="D446" s="4" t="inlineStr">
        <is>
          <t>capacity</t>
        </is>
      </c>
      <c r="E446" s="4" t="inlineStr">
        <is>
          <t>2023-05</t>
        </is>
      </c>
      <c r="F446" s="4" t="inlineStr">
        <is>
          <t>PACR Option 5A indicative transfer capability, Victoria to New South Wales</t>
        </is>
      </c>
      <c r="G446" s="4" t="n">
        <v>1935</v>
      </c>
      <c r="H446" s="4" t="inlineStr">
        <is>
          <t>MW</t>
        </is>
      </c>
      <c r="I446" s="4" t="n"/>
      <c r="J446" s="4" t="n"/>
      <c r="K446" s="4" t="inlineStr">
        <is>
          <t>Indicative, based on AVP and Transgrid power system analysis</t>
        </is>
      </c>
      <c r="L446" s="4" t="inlineStr">
        <is>
          <t>RIT-T preferred-option modelled capacity</t>
        </is>
      </c>
      <c r="M446" s="4" t="inlineStr">
        <is>
          <t>Option 5A (north of Kerang), Victoria to New South Wales direction</t>
        </is>
      </c>
      <c r="N446" s="4" t="inlineStr">
        <is>
          <t>Primary-source figure behind the 2024 ISP's North 1,935 MW (VNV-AO-2024-CAP-NORTH); Table 1 also shows V2 – Murray River: +1,580 MW for this option.</t>
        </is>
      </c>
      <c r="O446" s="4" t="inlineStr">
        <is>
          <t>VNV-TRANSGRID-2023-PACR</t>
        </is>
      </c>
      <c r="P446" s="4" t="inlineStr">
        <is>
          <t>10</t>
        </is>
      </c>
      <c r="Q446" s="4" t="inlineStr">
        <is>
          <t>Option 5A (north of 
Kerang) 
+1,935 MW</t>
        </is>
      </c>
      <c r="R446" s="4" t="inlineStr"/>
      <c r="S446" s="4" t="inlineStr">
        <is>
          <t>Table 1, Summary of the credible options assessed (p10).</t>
        </is>
      </c>
    </row>
    <row r="447">
      <c r="A447" s="4" t="inlineStr">
        <is>
          <t>VNI West (Victoria)</t>
        </is>
      </c>
      <c r="B447" s="4" t="inlineStr">
        <is>
          <t>VNV-PROJECT-VNI-VIC</t>
        </is>
      </c>
      <c r="C447" s="4" t="inlineStr">
        <is>
          <t>VNV-AO-2023-PACR-CAP-NSW-VIC</t>
        </is>
      </c>
      <c r="D447" s="4" t="inlineStr">
        <is>
          <t>capacity</t>
        </is>
      </c>
      <c r="E447" s="4" t="inlineStr">
        <is>
          <t>2023-05</t>
        </is>
      </c>
      <c r="F447" s="4" t="inlineStr">
        <is>
          <t>PACR Option 5A indicative transfer capability, New South Wales to Victoria</t>
        </is>
      </c>
      <c r="G447" s="4" t="n">
        <v>1669</v>
      </c>
      <c r="H447" s="4" t="inlineStr">
        <is>
          <t>MW</t>
        </is>
      </c>
      <c r="I447" s="4" t="n"/>
      <c r="J447" s="4" t="n"/>
      <c r="K447" s="4" t="inlineStr">
        <is>
          <t>Indicative, based on AVP and Transgrid power system analysis</t>
        </is>
      </c>
      <c r="L447" s="4" t="inlineStr">
        <is>
          <t>RIT-T preferred-option modelled capacity</t>
        </is>
      </c>
      <c r="M447" s="4" t="inlineStr">
        <is>
          <t>Option 5A (north of Kerang), New South Wales to Victoria direction</t>
        </is>
      </c>
      <c r="N447" s="4" t="inlineStr">
        <is>
          <t>Primary-source figure behind the 2024 ISP's South 1,669 MW (VNV-AO-2024-CAP-SOUTH).</t>
        </is>
      </c>
      <c r="O447" s="4" t="inlineStr">
        <is>
          <t>VNV-TRANSGRID-2023-PACR</t>
        </is>
      </c>
      <c r="P447" s="4" t="inlineStr">
        <is>
          <t>10</t>
        </is>
      </c>
      <c r="Q447" s="4" t="inlineStr">
        <is>
          <t>+1,669 MW V2 – Murray River: +1,580 MW</t>
        </is>
      </c>
      <c r="R447" s="4" t="inlineStr"/>
      <c r="S447" s="4" t="inlineStr">
        <is>
          <t>Table 1, Summary of the credible options assessed (p10).</t>
        </is>
      </c>
    </row>
    <row r="448">
      <c r="A448" s="4" t="inlineStr">
        <is>
          <t>VNI West (Victoria)</t>
        </is>
      </c>
      <c r="B448" s="4" t="inlineStr">
        <is>
          <t>VNV-PROJECT-VNI-VIC</t>
        </is>
      </c>
      <c r="C448" s="4" t="inlineStr">
        <is>
          <t>VNV-AO-2022-PADR-COST</t>
        </is>
      </c>
      <c r="D448" s="4" t="inlineStr">
        <is>
          <t>cost</t>
        </is>
      </c>
      <c r="E448" s="4" t="inlineStr">
        <is>
          <t>2022-07</t>
        </is>
      </c>
      <c r="F448" s="4" t="inlineStr">
        <is>
          <t>PADR Option 1 (proposed preferred option, via Bendigo) estimated capital cost</t>
        </is>
      </c>
      <c r="G448" s="4" t="n">
        <v>3256</v>
      </c>
      <c r="H448" s="4" t="inlineStr">
        <is>
          <t>AUD million</t>
        </is>
      </c>
      <c r="I448" s="4" t="inlineStr">
        <is>
          <t>FY2020-21 dollars</t>
        </is>
      </c>
      <c r="J448" s="4" t="inlineStr">
        <is>
          <t>Class 4</t>
        </is>
      </c>
      <c r="K448" s="4" t="inlineStr">
        <is>
          <t>±30%</t>
        </is>
      </c>
      <c r="L448" s="4" t="inlineStr">
        <is>
          <t>RIT-T draft preferred-option estimate, superseded</t>
        </is>
      </c>
      <c r="M448" s="4" t="inlineStr">
        <is>
          <t>PADR Option 1 (north of Ballarat - near Bendigo - near Kerang - Dinawan); superseded by Option 5A in the May 2023 PACR</t>
        </is>
      </c>
      <c r="N448" s="4" t="inlineStr">
        <is>
          <t>Earlier (2022) draft preferred option via Bendigo, later replaced by Option 5A (via Kerang directly) after the February 2023 NEVA Order; not comparable with the PACR's $3,499m Option 5A figure.</t>
        </is>
      </c>
      <c r="O448" s="4" t="inlineStr">
        <is>
          <t>VNV-TRANSGRID-2022-PADR</t>
        </is>
      </c>
      <c r="P448" s="4" t="inlineStr">
        <is>
          <t>95</t>
        </is>
      </c>
      <c r="Q448" s="4" t="inlineStr">
        <is>
          <t>The project consists of approximately 400km of double-circuit 500 kV lines with an estimated capital cost of this 
option of approximately $3.256 billion: $1.605 billion in Victoria and $1.651 billion in New South Wales.</t>
        </is>
      </c>
      <c r="R448" s="4" t="inlineStr"/>
      <c r="S448" s="4" t="inlineStr">
        <is>
          <t>Accuracy of ±30% ('class 4') for these PADR estimates is stated on p71. Table 4 (p53) shows the same Victoria/NSW split: 'Total (by state) 1,651 1,605 1,957 1,918' and 'Total (all states) 3,256 3,874'.</t>
        </is>
      </c>
    </row>
    <row r="449">
      <c r="A449" s="4" t="inlineStr">
        <is>
          <t>VNI West (Victoria)</t>
        </is>
      </c>
      <c r="B449" s="4" t="inlineStr">
        <is>
          <t>VNV-PROJECT-VNI-VIC</t>
        </is>
      </c>
      <c r="C449" s="4" t="inlineStr">
        <is>
          <t>VNV-AO-2022-PADR-OPT2-COST</t>
        </is>
      </c>
      <c r="D449" s="4" t="inlineStr">
        <is>
          <t>cost</t>
        </is>
      </c>
      <c r="E449" s="4" t="inlineStr">
        <is>
          <t>2022-07</t>
        </is>
      </c>
      <c r="F449" s="4" t="inlineStr">
        <is>
          <t>PADR Option 2 (VTL ahead of VNI West) estimated capital cost</t>
        </is>
      </c>
      <c r="G449" s="4" t="n">
        <v>3874</v>
      </c>
      <c r="H449" s="4" t="inlineStr">
        <is>
          <t>AUD million</t>
        </is>
      </c>
      <c r="I449" s="4" t="inlineStr">
        <is>
          <t>FY2020-21 dollars</t>
        </is>
      </c>
      <c r="J449" s="4" t="inlineStr">
        <is>
          <t>Class 4</t>
        </is>
      </c>
      <c r="K449" s="4" t="inlineStr">
        <is>
          <t>±30%</t>
        </is>
      </c>
      <c r="L449" s="4" t="inlineStr">
        <is>
          <t>RIT-T credible alternative option, not preferred</t>
        </is>
      </c>
      <c r="M449" s="4" t="inlineStr">
        <is>
          <t>PADR Option 2 (a Victorian Transmission Link (VTL)/battery brought forward ahead of VNI West)</t>
        </is>
      </c>
      <c r="N449" s="4" t="inlineStr">
        <is>
          <t>The PADR's second credible option, assessed and not preferred; relevant context for the chart's alt_routes judgment cell.</t>
        </is>
      </c>
      <c r="O449" s="4" t="inlineStr">
        <is>
          <t>VNV-TRANSGRID-2022-PADR</t>
        </is>
      </c>
      <c r="P449" s="4" t="inlineStr">
        <is>
          <t>53</t>
        </is>
      </c>
      <c r="Q449" s="4" t="inlineStr">
        <is>
          <t>Total (by state) 1,651 1,605 1,957 1,918 
Total (all states) 3,256 3,874</t>
        </is>
      </c>
      <c r="R449" s="4" t="inlineStr"/>
      <c r="S449" s="4" t="inlineStr">
        <is>
          <t>Table 4, Summary of the credible options assessed in this PADR.</t>
        </is>
      </c>
    </row>
    <row r="450">
      <c r="A450" s="4" t="inlineStr">
        <is>
          <t>VNI West (Victoria)</t>
        </is>
      </c>
      <c r="B450" s="4" t="inlineStr">
        <is>
          <t>VNV-PROJECT-VNI-VIC</t>
        </is>
      </c>
      <c r="C450" s="4" t="inlineStr">
        <is>
          <t>VNV-AO-2022-PADR-ROUTE-LENGTH</t>
        </is>
      </c>
      <c r="D450" s="4" t="inlineStr">
        <is>
          <t>trunk_km</t>
        </is>
      </c>
      <c r="E450" s="4" t="inlineStr">
        <is>
          <t>2022-07</t>
        </is>
      </c>
      <c r="F450" s="4" t="inlineStr">
        <is>
          <t>PADR Option 1 whole-route approximate length</t>
        </is>
      </c>
      <c r="G450" s="4" t="n">
        <v>400</v>
      </c>
      <c r="H450" s="4" t="inlineStr">
        <is>
          <t>km</t>
        </is>
      </c>
      <c r="I450" s="4" t="n"/>
      <c r="J450" s="4" t="n"/>
      <c r="K450" s="4" t="inlineStr">
        <is>
          <t>Approximate</t>
        </is>
      </c>
      <c r="L450" s="4" t="inlineStr">
        <is>
          <t>RIT-T draft preferred-option indicative length, superseded</t>
        </is>
      </c>
      <c r="M450" s="4" t="inlineStr">
        <is>
          <t>Whole PADR Option 1 route (north of Ballarat - near Bendigo - near Kerang - Dinawan), Victoria and New South Wales combined; no state-by-state split is stated for this option</t>
        </is>
      </c>
      <c r="N450" s="4" t="inlineStr">
        <is>
          <t>Superseded whole-route figure for the pre-Option 5A route via Bendigo; not the route later specified in the May 2023 NEVA Order or costed in the PACR. Not additive or comparable with the PACR's 206 km Victorian-portion figure (VNV-AO-2023-PACR-ROUTE-LENGTH), which is for a different route and a state-only boundary.</t>
        </is>
      </c>
      <c r="O450" s="4" t="inlineStr">
        <is>
          <t>VNV-TRANSGRID-2022-PADR</t>
        </is>
      </c>
      <c r="P450" s="4" t="inlineStr">
        <is>
          <t>95</t>
        </is>
      </c>
      <c r="Q450" s="4" t="inlineStr">
        <is>
          <t>The project consists of approximately 400km of double-circuit 500 kV lines with an estimated capital cost of this 
option of approximately $3.256 billion: $1.605 billion in Victoria and $1.651 billion in New South Wales.</t>
        </is>
      </c>
      <c r="R450" s="4" t="inlineStr"/>
      <c r="S450" s="4" t="inlineStr">
        <is>
          <t>Unlike PACR Table 6, PADR Table 4 does not itemise an approximate line length split by state for this option.</t>
        </is>
      </c>
    </row>
    <row r="451">
      <c r="A451" s="4" t="inlineStr">
        <is>
          <t>VNI West (Victoria)</t>
        </is>
      </c>
      <c r="B451" s="4" t="inlineStr">
        <is>
          <t>VNV-PROJECT-VNI-VIC</t>
        </is>
      </c>
      <c r="C451" s="4" t="inlineStr">
        <is>
          <t>VNV-AO-2022-PADR-CAP-VIC-NSW</t>
        </is>
      </c>
      <c r="D451" s="4" t="inlineStr">
        <is>
          <t>capacity</t>
        </is>
      </c>
      <c r="E451" s="4" t="inlineStr">
        <is>
          <t>2022-07</t>
        </is>
      </c>
      <c r="F451" s="4" t="inlineStr">
        <is>
          <t>PADR Option 1 indicative additional transfer capacity, Victoria to New South Wales</t>
        </is>
      </c>
      <c r="G451" s="4" t="n">
        <v>1930</v>
      </c>
      <c r="H451" s="4" t="inlineStr">
        <is>
          <t>MW</t>
        </is>
      </c>
      <c r="I451" s="4" t="n"/>
      <c r="J451" s="4" t="n"/>
      <c r="K451" s="4" t="inlineStr">
        <is>
          <t>Modelled, indicative</t>
        </is>
      </c>
      <c r="L451" s="4" t="inlineStr">
        <is>
          <t>RIT-T draft preferred-option modelled capacity, superseded</t>
        </is>
      </c>
      <c r="M451" s="4" t="inlineStr">
        <is>
          <t>PADR Option 1 (via Bendigo), Victoria to New South Wales direction</t>
        </is>
      </c>
      <c r="N451" s="4" t="inlineStr">
        <is>
          <t>Superseded by the PACR's Option 5A figure of +1,935 MW (VNV-AO-2023-PACR-CAP-VIC-NSW); different route topology.</t>
        </is>
      </c>
      <c r="O451" s="4" t="inlineStr">
        <is>
          <t>VNV-TRANSGRID-2022-PADR</t>
        </is>
      </c>
      <c r="P451" s="4" t="inlineStr">
        <is>
          <t>95</t>
        </is>
      </c>
      <c r="Q451" s="4" t="inlineStr">
        <is>
          <t>Modelling indicates that this option will result in additional transfer capacity of approximately 1,930  MW from 
Victoria to New South Wales and 1,800 MW from New South Wales to Victoria 148.</t>
        </is>
      </c>
      <c r="R451" s="4" t="inlineStr"/>
      <c r="S451" s="4" t="inlineStr"/>
    </row>
    <row r="452">
      <c r="A452" s="4" t="inlineStr">
        <is>
          <t>VNI West (Victoria)</t>
        </is>
      </c>
      <c r="B452" s="4" t="inlineStr">
        <is>
          <t>VNV-PROJECT-VNI-VIC</t>
        </is>
      </c>
      <c r="C452" s="4" t="inlineStr">
        <is>
          <t>VNV-AO-2022-PADR-CAP-NSW-VIC</t>
        </is>
      </c>
      <c r="D452" s="4" t="inlineStr">
        <is>
          <t>capacity</t>
        </is>
      </c>
      <c r="E452" s="4" t="inlineStr">
        <is>
          <t>2022-07</t>
        </is>
      </c>
      <c r="F452" s="4" t="inlineStr">
        <is>
          <t>PADR Option 1 indicative additional transfer capacity, New South Wales to Victoria</t>
        </is>
      </c>
      <c r="G452" s="4" t="n">
        <v>1800</v>
      </c>
      <c r="H452" s="4" t="inlineStr">
        <is>
          <t>MW</t>
        </is>
      </c>
      <c r="I452" s="4" t="n"/>
      <c r="J452" s="4" t="n"/>
      <c r="K452" s="4" t="inlineStr">
        <is>
          <t>Modelled, indicative</t>
        </is>
      </c>
      <c r="L452" s="4" t="inlineStr">
        <is>
          <t>RIT-T draft preferred-option modelled capacity, superseded</t>
        </is>
      </c>
      <c r="M452" s="4" t="inlineStr">
        <is>
          <t>PADR Option 1 (via Bendigo), New South Wales to Victoria direction</t>
        </is>
      </c>
      <c r="N452" s="4" t="inlineStr">
        <is>
          <t>Superseded by the PACR's Option 5A figure of +1,669 MW (VNV-AO-2023-PACR-CAP-NSW-VIC); different route topology. Note the coincident 1,800 MW also appears, unrelated, as the 2026 ISP's third-Dinawan-transformer REZ expansion figure (VNV-AO-2026-CAP-THIRD-TF).</t>
        </is>
      </c>
      <c r="O452" s="4" t="inlineStr">
        <is>
          <t>VNV-TRANSGRID-2022-PADR</t>
        </is>
      </c>
      <c r="P452" s="4" t="inlineStr">
        <is>
          <t>95</t>
        </is>
      </c>
      <c r="Q452" s="4" t="inlineStr">
        <is>
          <t>Modelling indicates that this option will result in additional transfer capacity of approximately 1,930  MW from 
Victoria to New South Wales and 1,800 MW from New South Wales to Victoria 148.</t>
        </is>
      </c>
      <c r="R452" s="4" t="inlineStr"/>
      <c r="S452" s="4" t="inlineStr"/>
    </row>
    <row r="453">
      <c r="A453" s="4" t="inlineStr">
        <is>
          <t>VNI West (Victoria)</t>
        </is>
      </c>
      <c r="B453" s="4" t="inlineStr">
        <is>
          <t>VNV-PROJECT-VNI-VIC</t>
        </is>
      </c>
      <c r="C453" s="4" t="inlineStr">
        <is>
          <t>VNV-AO-2022-PADR-PEC-160KM</t>
        </is>
      </c>
      <c r="D453" s="4" t="inlineStr">
        <is>
          <t>other</t>
        </is>
      </c>
      <c r="E453" s="4" t="inlineStr">
        <is>
          <t>2022-07</t>
        </is>
      </c>
      <c r="F453" s="4" t="inlineStr">
        <is>
          <t>Project EnergyConnect enhanced-to-500kV segment length (NSW), funded via VNI West early works</t>
        </is>
      </c>
      <c r="G453" s="4" t="n">
        <v>160</v>
      </c>
      <c r="H453" s="4" t="inlineStr">
        <is>
          <t>km</t>
        </is>
      </c>
      <c r="I453" s="4" t="n"/>
      <c r="J453" s="4" t="n"/>
      <c r="K453" s="4" t="inlineStr">
        <is>
          <t>Approximate</t>
        </is>
      </c>
      <c r="L453" s="4" t="inlineStr">
        <is>
          <t>adjacent-project scope description</t>
        </is>
      </c>
      <c r="M453" s="4" t="inlineStr">
        <is>
          <t>Project EnergyConnect line between Dinawan Substation and Wagga Wagga, built to 500 kV specification instead of 330 kV under Federal Government underwriting</t>
        </is>
      </c>
      <c r="N453" s="4" t="inlineStr">
        <is>
          <t>This is a Project EnergyConnect (NSW) segment length, not a VNI West trunk or feeder length; do not use it to answer the chart's trunk_km or feeder_lines_km cells.</t>
        </is>
      </c>
      <c r="O453" s="4" t="inlineStr">
        <is>
          <t>VNV-TRANSGRID-2022-PADR</t>
        </is>
      </c>
      <c r="P453" s="4" t="inlineStr">
        <is>
          <t>107</t>
        </is>
      </c>
      <c r="Q453" s="4" t="inlineStr">
        <is>
          <t>Following the Federal Government underwriting 151, Transgrid committed to construct approximately 160 km of 
Project EnergyConnect to a 500 kV specification instead of 330 kV.</t>
        </is>
      </c>
      <c r="R453" s="4" t="inlineStr"/>
      <c r="S453" s="4" t="inlineStr">
        <is>
          <t>The $181.5 million Federal underwriting funds this enhancement as part of VNI West early works (Appendix A3, Cost estimating methodology).</t>
        </is>
      </c>
    </row>
    <row r="454">
      <c r="A454" s="4" t="inlineStr">
        <is>
          <t>Western Renewables Link</t>
        </is>
      </c>
      <c r="B454" s="4" t="inlineStr">
        <is>
          <t>WRL-PROJECT-WRL</t>
        </is>
      </c>
      <c r="C454" s="4" t="inlineStr">
        <is>
          <t>WRL-AO-2024-ORIG-600MW</t>
        </is>
      </c>
      <c r="D454" s="4" t="inlineStr">
        <is>
          <t>capacity</t>
        </is>
      </c>
      <c r="E454" s="4" t="inlineStr">
        <is>
          <t>2024-06</t>
        </is>
      </c>
      <c r="F454" s="4" t="inlineStr">
        <is>
          <t>AEMO 2024 statement of the original WRL design capacity</t>
        </is>
      </c>
      <c r="G454" s="4" t="n">
        <v>600</v>
      </c>
      <c r="H454" s="4" t="inlineStr">
        <is>
          <t>MW</t>
        </is>
      </c>
      <c r="I454" s="4" t="n"/>
      <c r="J454" s="4" t="n"/>
      <c r="K454" s="4" t="n"/>
      <c r="L454" s="4" t="inlineStr">
        <is>
          <t>planner retrospective statement</t>
        </is>
      </c>
      <c r="M454" s="4" t="inlineStr">
        <is>
          <t>Original pre-2023 WRL design as retrospectively described by AEMO; underlying 2019 RIT-T not archived</t>
        </is>
      </c>
      <c r="N454" s="4" t="inlineStr">
        <is>
          <t>Retrospective planner statement of a 2019 design value; not a directly captured 2019 RIT-T figure</t>
        </is>
      </c>
      <c r="O454" s="4" t="inlineStr">
        <is>
          <t>HUM-AEMO-2024-ISP-A5</t>
        </is>
      </c>
      <c r="P454" s="4" t="inlineStr">
        <is>
          <t>19</t>
        </is>
      </c>
      <c r="Q454" s="4" t="inlineStr">
        <is>
          <t>The updated scope results in a higher capacity and harnesses 1,460 MW of renewable capacity rather than the original</t>
        </is>
      </c>
      <c r="R454" s="4" t="inlineStr"/>
      <c r="S454" s="4" t="inlineStr">
        <is>
          <t>The 600 MW figure completes on the next derivative line as 'design of 600 MW.'; the 2019 PACR itself is unavailable.</t>
        </is>
      </c>
    </row>
    <row r="455">
      <c r="A455" s="4" t="inlineStr">
        <is>
          <t>Western Renewables Link</t>
        </is>
      </c>
      <c r="B455" s="4" t="inlineStr">
        <is>
          <t>WRL-PROJECT-WRL</t>
        </is>
      </c>
      <c r="C455" s="4" t="inlineStr">
        <is>
          <t>WRL-AO-2026-ORIG-600MW</t>
        </is>
      </c>
      <c r="D455" s="4" t="inlineStr">
        <is>
          <t>capacity</t>
        </is>
      </c>
      <c r="E455" s="4" t="inlineStr">
        <is>
          <t>2026-06</t>
        </is>
      </c>
      <c r="F455" s="4" t="inlineStr">
        <is>
          <t>AEMO 2026 statement of the original WRL design capacity</t>
        </is>
      </c>
      <c r="G455" s="4" t="n">
        <v>600</v>
      </c>
      <c r="H455" s="4" t="inlineStr">
        <is>
          <t>MW</t>
        </is>
      </c>
      <c r="I455" s="4" t="n"/>
      <c r="J455" s="4" t="n"/>
      <c r="K455" s="4" t="n"/>
      <c r="L455" s="4" t="inlineStr">
        <is>
          <t>planner retrospective statement</t>
        </is>
      </c>
      <c r="M455" s="4" t="inlineStr">
        <is>
          <t>Original pre-2023 WRL design as retrospectively described by AEMO</t>
        </is>
      </c>
      <c r="N455" s="4" t="inlineStr">
        <is>
          <t>Same retrospective statement as 2024; not an independent measurement</t>
        </is>
      </c>
      <c r="O455" s="4" t="inlineStr">
        <is>
          <t>HUM-AEMO-2026-ISP-A5</t>
        </is>
      </c>
      <c r="P455" s="4" t="inlineStr">
        <is>
          <t>24</t>
        </is>
      </c>
      <c r="Q455" s="4" t="inlineStr">
        <is>
          <t>The updated scope results in a higher capacity and harnesses 1,460 MW of renewable capacity rather than the original design of 600 MW.</t>
        </is>
      </c>
      <c r="R455" s="4" t="inlineStr"/>
      <c r="S455" s="4" t="inlineStr"/>
    </row>
    <row r="456">
      <c r="A456" s="4" t="inlineStr">
        <is>
          <t>Western Renewables Link</t>
        </is>
      </c>
      <c r="B456" s="4" t="inlineStr">
        <is>
          <t>WRL-PROJECT-WRL</t>
        </is>
      </c>
      <c r="C456" s="4" t="inlineStr">
        <is>
          <t>WRL-AO-2024-CAPACITY-1460</t>
        </is>
      </c>
      <c r="D456" s="4" t="inlineStr">
        <is>
          <t>capacity</t>
        </is>
      </c>
      <c r="E456" s="4" t="inlineStr">
        <is>
          <t>2024-06</t>
        </is>
      </c>
      <c r="F456" s="4" t="inlineStr">
        <is>
          <t>AEMO 2024 uprated WRL renewable capacity harnessed</t>
        </is>
      </c>
      <c r="G456" s="4" t="n">
        <v>1460</v>
      </c>
      <c r="H456" s="4" t="inlineStr">
        <is>
          <t>MW</t>
        </is>
      </c>
      <c r="I456" s="4" t="n"/>
      <c r="J456" s="4" t="n"/>
      <c r="K456" s="4" t="n"/>
      <c r="L456" s="4" t="inlineStr">
        <is>
          <t>planner representation</t>
        </is>
      </c>
      <c r="M456" s="4" t="inlineStr">
        <is>
          <t>Uprated WRL scope after the May 2023 VNI West PACR change; renewable capacity harnessed, not a line rating</t>
        </is>
      </c>
      <c r="N456" s="4" t="inlineStr">
        <is>
          <t>Not like-for-like with the AusNet 'more than 3,000MW' capability statement or with the 695 MW additional network capacity</t>
        </is>
      </c>
      <c r="O456" s="4" t="inlineStr">
        <is>
          <t>HUM-AEMO-2024-ISP-A5</t>
        </is>
      </c>
      <c r="P456" s="4" t="inlineStr">
        <is>
          <t>19</t>
        </is>
      </c>
      <c r="Q456" s="4" t="inlineStr">
        <is>
          <t>The updated scope results in a higher capacity and harnesses 1,460 MW of renewable capacity rather than the original</t>
        </is>
      </c>
      <c r="R456" s="4" t="inlineStr"/>
      <c r="S456" s="4" t="inlineStr"/>
    </row>
    <row r="457">
      <c r="A457" s="4" t="inlineStr">
        <is>
          <t>Western Renewables Link</t>
        </is>
      </c>
      <c r="B457" s="4" t="inlineStr">
        <is>
          <t>WRL-PROJECT-WRL</t>
        </is>
      </c>
      <c r="C457" s="4" t="inlineStr">
        <is>
          <t>WRL-AO-2026-CAPACITY-1460</t>
        </is>
      </c>
      <c r="D457" s="4" t="inlineStr">
        <is>
          <t>capacity</t>
        </is>
      </c>
      <c r="E457" s="4" t="inlineStr">
        <is>
          <t>2026-06</t>
        </is>
      </c>
      <c r="F457" s="4" t="inlineStr">
        <is>
          <t>AEMO 2026 uprated WRL renewable capacity harnessed</t>
        </is>
      </c>
      <c r="G457" s="4" t="n">
        <v>1460</v>
      </c>
      <c r="H457" s="4" t="inlineStr">
        <is>
          <t>MW</t>
        </is>
      </c>
      <c r="I457" s="4" t="n"/>
      <c r="J457" s="4" t="n"/>
      <c r="K457" s="4" t="n"/>
      <c r="L457" s="4" t="inlineStr">
        <is>
          <t>current planner representation</t>
        </is>
      </c>
      <c r="M457" s="4" t="inlineStr">
        <is>
          <t>Uprated WRL scope; renewable capacity harnessed, not a line rating</t>
        </is>
      </c>
      <c r="N457" s="4" t="inlineStr">
        <is>
          <t>Unchanged from the 2024 representation; different basis from AusNet capability and from additional network capacity</t>
        </is>
      </c>
      <c r="O457" s="4" t="inlineStr">
        <is>
          <t>HUM-AEMO-2026-ISP-A5</t>
        </is>
      </c>
      <c r="P457" s="4" t="inlineStr">
        <is>
          <t>24</t>
        </is>
      </c>
      <c r="Q457" s="4" t="inlineStr">
        <is>
          <t>The updated scope results in a higher capacity and harnesses 1,460 MW of renewable capacity rather than the original design of 600 MW.</t>
        </is>
      </c>
      <c r="R457" s="4" t="inlineStr"/>
      <c r="S457" s="4" t="inlineStr"/>
    </row>
    <row r="458">
      <c r="A458" s="4" t="inlineStr">
        <is>
          <t>Western Renewables Link</t>
        </is>
      </c>
      <c r="B458" s="4" t="inlineStr">
        <is>
          <t>WRL-PROJECT-WRL</t>
        </is>
      </c>
      <c r="C458" s="4" t="inlineStr">
        <is>
          <t>WRL-AO-2026-ADDL-NETWORK-695</t>
        </is>
      </c>
      <c r="D458" s="4" t="inlineStr">
        <is>
          <t>capacity</t>
        </is>
      </c>
      <c r="E458" s="4" t="inlineStr">
        <is>
          <t>2026-06</t>
        </is>
      </c>
      <c r="F458" s="4" t="inlineStr">
        <is>
          <t>AEMO 2026 additional network capacity for WRL</t>
        </is>
      </c>
      <c r="G458" s="4" t="n">
        <v>695</v>
      </c>
      <c r="H458" s="4" t="inlineStr">
        <is>
          <t>MW</t>
        </is>
      </c>
      <c r="I458" s="4" t="n"/>
      <c r="J458" s="4" t="n"/>
      <c r="K458" s="4" t="n"/>
      <c r="L458" s="4" t="inlineStr">
        <is>
          <t>current planner representation</t>
        </is>
      </c>
      <c r="M458" s="4" t="inlineStr">
        <is>
          <t>Additional network capacity in both directions between Greater Melbourne and Geelong (MEL) and West and North Victoria (WNV)</t>
        </is>
      </c>
      <c r="N458" s="4" t="inlineStr">
        <is>
          <t>A transfer-capacity increment on a defined MEL-WNV boundary; not the same quantity as the 1,460 MW harnessed capacity</t>
        </is>
      </c>
      <c r="O458" s="4" t="inlineStr">
        <is>
          <t>HUM-AEMO-2026-ISP-A5</t>
        </is>
      </c>
      <c r="P458" s="4" t="inlineStr">
        <is>
          <t>24</t>
        </is>
      </c>
      <c r="Q458" s="4" t="inlineStr">
        <is>
          <t>695 MW</t>
        </is>
      </c>
      <c r="R458" s="4" t="inlineStr"/>
      <c r="S458" s="4" t="inlineStr">
        <is>
          <t>Delivery scope table cell; adjacent derivative lines give the MEL-WNV directional boundary.</t>
        </is>
      </c>
    </row>
    <row r="459">
      <c r="A459" s="4" t="inlineStr">
        <is>
          <t>Western Renewables Link</t>
        </is>
      </c>
      <c r="B459" s="4" t="inlineStr">
        <is>
          <t>WRL-PROJECT-WRL</t>
        </is>
      </c>
      <c r="C459" s="4" t="inlineStr">
        <is>
          <t>WRL-AO-2026-REZ-V2-310</t>
        </is>
      </c>
      <c r="D459" s="4" t="inlineStr">
        <is>
          <t>capacity</t>
        </is>
      </c>
      <c r="E459" s="4" t="inlineStr">
        <is>
          <t>2026-06</t>
        </is>
      </c>
      <c r="F459" s="4" t="inlineStr">
        <is>
          <t>AEMO 2026 WRL REZ V2 capacity increase</t>
        </is>
      </c>
      <c r="G459" s="4" t="n">
        <v>310</v>
      </c>
      <c r="H459" s="4" t="inlineStr">
        <is>
          <t>MW</t>
        </is>
      </c>
      <c r="I459" s="4" t="n"/>
      <c r="J459" s="4" t="n"/>
      <c r="K459" s="4" t="n"/>
      <c r="L459" s="4" t="inlineStr">
        <is>
          <t>current planner representation</t>
        </is>
      </c>
      <c r="M459" s="4" t="inlineStr">
        <is>
          <t>REZ V2 capacity attributable to WRL in the 2026 delivery scope table</t>
        </is>
      </c>
      <c r="N459" s="4" t="inlineStr">
        <is>
          <t>A REZ-specific increment; do not add to the 695 MW or 1,460 MW figures</t>
        </is>
      </c>
      <c r="O459" s="4" t="inlineStr">
        <is>
          <t>HUM-AEMO-2026-ISP-A5</t>
        </is>
      </c>
      <c r="P459" s="4" t="inlineStr">
        <is>
          <t>25</t>
        </is>
      </c>
      <c r="Q459" s="4" t="inlineStr">
        <is>
          <t>V2:310 MW</t>
        </is>
      </c>
      <c r="R459" s="4" t="inlineStr"/>
      <c r="S459" s="4" t="inlineStr"/>
    </row>
    <row r="460">
      <c r="A460" s="4" t="inlineStr">
        <is>
          <t>Western Renewables Link</t>
        </is>
      </c>
      <c r="B460" s="4" t="inlineStr">
        <is>
          <t>WRL-PROJECT-WRL</t>
        </is>
      </c>
      <c r="C460" s="4" t="inlineStr">
        <is>
          <t>WRL-AO-2026-AUSNET-CAPABILITY</t>
        </is>
      </c>
      <c r="D460" s="4" t="inlineStr">
        <is>
          <t>capacity</t>
        </is>
      </c>
      <c r="E460" s="4" t="inlineStr">
        <is>
          <t>2026-09-03</t>
        </is>
      </c>
      <c r="F460" s="4" t="inlineStr">
        <is>
          <t>AusNet stated WRL carrying capability</t>
        </is>
      </c>
      <c r="G460" s="4" t="n">
        <v>3000</v>
      </c>
      <c r="H460" s="4" t="inlineStr">
        <is>
          <t>MW</t>
        </is>
      </c>
      <c r="I460" s="4" t="n"/>
      <c r="J460" s="4" t="n"/>
      <c r="K460" s="4" t="n"/>
      <c r="L460" s="4" t="inlineStr">
        <is>
          <t>proponent webpage statement</t>
        </is>
      </c>
      <c r="M460" s="4" t="inlineStr">
        <is>
          <t>Proponent statement of what the line is capable of carrying; a stated lower bound ('more than'), not a planner capacity figure</t>
        </is>
      </c>
      <c r="N460" s="4" t="inlineStr">
        <is>
          <t>Proponent capability claim on an undefined basis; not comparable with AEMO's 1,460 MW harnessed capacity or 695 MW additional network capacity</t>
        </is>
      </c>
      <c r="O460" s="4" t="inlineStr">
        <is>
          <t>WRL-AUSNET-PROJECT</t>
        </is>
      </c>
      <c r="P460" s="4" t="inlineStr">
        <is>
          <t>derivative line 49</t>
        </is>
      </c>
      <c r="Q460" s="4" t="inlineStr">
        <is>
          <t>Capable of carrying more than 3,000MW of energy</t>
        </is>
      </c>
      <c r="R460" s="4" t="inlineStr">
        <is>
          <t>selected</t>
        </is>
      </c>
      <c r="S460" s="4" t="inlineStr">
        <is>
          <t>Retrieved 2026-09-03; the page carries no publication date.</t>
        </is>
      </c>
    </row>
    <row r="461">
      <c r="A461" s="4" t="inlineStr">
        <is>
          <t>Western Renewables Link</t>
        </is>
      </c>
      <c r="B461" s="4" t="inlineStr">
        <is>
          <t>WRL-PROJECT-WRL</t>
        </is>
      </c>
      <c r="C461" s="4" t="inlineStr">
        <is>
          <t>WRL-AO-2026-TRUNK-190KM</t>
        </is>
      </c>
      <c r="D461" s="4" t="inlineStr">
        <is>
          <t>trunk_km</t>
        </is>
      </c>
      <c r="E461" s="4" t="inlineStr">
        <is>
          <t>2026-09-03</t>
        </is>
      </c>
      <c r="F461" s="4" t="inlineStr">
        <is>
          <t>AusNet stated WRL route length</t>
        </is>
      </c>
      <c r="G461" s="4" t="n">
        <v>190</v>
      </c>
      <c r="H461" s="4" t="inlineStr">
        <is>
          <t>km</t>
        </is>
      </c>
      <c r="I461" s="4" t="n"/>
      <c r="J461" s="4" t="n"/>
      <c r="K461" s="4" t="n"/>
      <c r="L461" s="4" t="inlineStr">
        <is>
          <t>proponent webpage statement</t>
        </is>
      </c>
      <c r="M461" s="4" t="inlineStr">
        <is>
          <t>Proposed Bulgana to Sydenham overhead transmission line</t>
        </is>
      </c>
      <c r="N461" s="4" t="inlineStr">
        <is>
          <t>Proponent proposed route length; neither AEMO ISP appendix states a WRL route length</t>
        </is>
      </c>
      <c r="O461" s="4" t="inlineStr">
        <is>
          <t>WRL-AUSNET-PROJECT</t>
        </is>
      </c>
      <c r="P461" s="4" t="inlineStr">
        <is>
          <t>derivative line 41</t>
        </is>
      </c>
      <c r="Q461" s="4" t="inlineStr">
        <is>
          <t>The Western Renewables Link is a proposed new 190 kilometre overhead high-voltage electricity transmission line that will carry renewable energy from Bulgana</t>
        </is>
      </c>
      <c r="R461" s="4" t="inlineStr">
        <is>
          <t>selected</t>
        </is>
      </c>
      <c r="S461" s="4" t="inlineStr"/>
    </row>
    <row r="462">
      <c r="A462" s="4" t="inlineStr">
        <is>
          <t>Western Renewables Link</t>
        </is>
      </c>
      <c r="B462" s="4" t="inlineStr">
        <is>
          <t>WRL-PROJECT-WRL</t>
        </is>
      </c>
      <c r="C462" s="4" t="inlineStr">
        <is>
          <t>WRL-AO-2025-CONTRACTOR-TRUNK-190KM</t>
        </is>
      </c>
      <c r="D462" s="4" t="inlineStr">
        <is>
          <t>trunk_km</t>
        </is>
      </c>
      <c r="E462" s="4" t="inlineStr">
        <is>
          <t>2025-12</t>
        </is>
      </c>
      <c r="F462" s="4" t="inlineStr">
        <is>
          <t>AusNet contractor-appointment release: WRL route length</t>
        </is>
      </c>
      <c r="G462" s="4" t="n">
        <v>190</v>
      </c>
      <c r="H462" s="4" t="inlineStr">
        <is>
          <t>km</t>
        </is>
      </c>
      <c r="I462" s="4" t="n"/>
      <c r="J462" s="4" t="n"/>
      <c r="K462" s="4" t="n"/>
      <c r="L462" s="4" t="inlineStr">
        <is>
          <t>proponent media release</t>
        </is>
      </c>
      <c r="M462" s="4" t="inlineStr">
        <is>
          <t>Proposed Bulgana to Sydenham 500 kV overhead transmission line</t>
        </is>
      </c>
      <c r="N462" s="4" t="inlineStr">
        <is>
          <t>Independently corroborates WRL-AO-2026-TRUNK-190KM (AusNet project webpage); this release states no cost figure of any kind</t>
        </is>
      </c>
      <c r="O462" s="4" t="inlineStr">
        <is>
          <t>WRL-AUSNET-2025-CONTRACTOR</t>
        </is>
      </c>
      <c r="P462" s="4" t="inlineStr">
        <is>
          <t>web</t>
        </is>
      </c>
      <c r="Q462" s="4" t="inlineStr">
        <is>
          <t>The proposed 190-kilometre 500 kV transmission line will connect new renewable energy generation projects and transmit electricity from near Bulgana in western Victoria to Sydenham in Melbourne’s north-west.</t>
        </is>
      </c>
      <c r="R462" s="4" t="inlineStr"/>
      <c r="S462" s="4" t="inlineStr">
        <is>
          <t>Web capture; unpaged, cited as page 'web'.</t>
        </is>
      </c>
    </row>
    <row r="463">
      <c r="A463" s="4" t="inlineStr">
        <is>
          <t>Western Renewables Link</t>
        </is>
      </c>
      <c r="B463" s="4" t="inlineStr">
        <is>
          <t>WRL-PROJECT-WRL</t>
        </is>
      </c>
      <c r="C463" s="4" t="inlineStr">
        <is>
          <t>WRL-AO-2025-CONTRACTOR-APPOINTED</t>
        </is>
      </c>
      <c r="D463" s="4" t="inlineStr">
        <is>
          <t>other</t>
        </is>
      </c>
      <c r="E463" s="4" t="inlineStr">
        <is>
          <t>2025-12-12</t>
        </is>
      </c>
      <c r="F463" s="4" t="inlineStr">
        <is>
          <t>AusNet announces WRL construction contractor appointment</t>
        </is>
      </c>
      <c r="G463" s="4" t="n"/>
      <c r="H463" s="4" t="n"/>
      <c r="I463" s="4" t="n"/>
      <c r="J463" s="4" t="n"/>
      <c r="K463" s="4" t="n"/>
      <c r="L463" s="4" t="inlineStr">
        <is>
          <t>proponent media release</t>
        </is>
      </c>
      <c r="M463" s="4" t="inlineStr">
        <is>
          <t>WRL construction works, whole project</t>
        </is>
      </c>
      <c r="N463" s="4" t="inlineStr">
        <is>
          <t>A delivery-scope/contracting milestone, not a cost or schedule commitment; no cost figure is stated on the page and construction is contingent on planning approvals</t>
        </is>
      </c>
      <c r="O463" s="4" t="inlineStr">
        <is>
          <t>WRL-AUSNET-2025-CONTRACTOR</t>
        </is>
      </c>
      <c r="P463" s="4" t="inlineStr">
        <is>
          <t>web</t>
        </is>
      </c>
      <c r="Q463" s="4" t="inlineStr">
        <is>
          <t>AusNet is pleased to announce that it has appointed a joint venture between ACCIONA and Genus to undertake the construction works for the Western Renewables Link (WRL), marking a significant milestone for the project.</t>
        </is>
      </c>
      <c r="R463" s="4" t="inlineStr"/>
      <c r="S463" s="4" t="inlineStr">
        <is>
          <t>Released 12 December 2025. The release states construction can 'move ahead if the project receives the necessary planning approvals'; the WRL EES hearing outcome remains unarchived (see WRL-AO-2026-EES-HEARING).</t>
        </is>
      </c>
    </row>
    <row r="464">
      <c r="A464" s="4" t="inlineStr">
        <is>
          <t>Western Renewables Link</t>
        </is>
      </c>
      <c r="B464" s="4" t="inlineStr">
        <is>
          <t>WRL-PROJECT-WRL</t>
        </is>
      </c>
      <c r="C464" s="4" t="inlineStr">
        <is>
          <t>WRL-AO-2024-WRL-IN-VNI-315</t>
        </is>
      </c>
      <c r="D464" s="4" t="inlineStr">
        <is>
          <t>cost</t>
        </is>
      </c>
      <c r="E464" s="4" t="inlineStr">
        <is>
          <t>2024-06</t>
        </is>
      </c>
      <c r="F464" s="4" t="inlineStr">
        <is>
          <t>WRL amount stated as included in VNI West quoted project cost</t>
        </is>
      </c>
      <c r="G464" s="4" t="n">
        <v>315</v>
      </c>
      <c r="H464" s="4" t="inlineStr">
        <is>
          <t>AUD million</t>
        </is>
      </c>
      <c r="I464" s="4" t="inlineStr">
        <is>
          <t>2020-21 dollars</t>
        </is>
      </c>
      <c r="J464" s="4" t="inlineStr">
        <is>
          <t>Class 4 (as stated for the VNI West option)</t>
        </is>
      </c>
      <c r="K464" s="4" t="inlineStr">
        <is>
          <t>Not separately stated for the WRL component</t>
        </is>
      </c>
      <c r="L464" s="4" t="inlineStr">
        <is>
          <t>planner note within VNI West option cost</t>
        </is>
      </c>
      <c r="M464" s="4" t="inlineStr">
        <is>
          <t>The WRL project as included inside the VNI West quoted project cost; not a standalone WRL estimate and not the current WRL scope</t>
        </is>
      </c>
      <c r="N464" s="4" t="inlineStr">
        <is>
          <t>2020-21 dollars, stated inside a VNI West cost boundary; not like-for-like with any current WRL scope or the chart's $1.6 billion</t>
        </is>
      </c>
      <c r="O464" s="4" t="inlineStr">
        <is>
          <t>HUM-AEMO-2024-ISP-A5</t>
        </is>
      </c>
      <c r="P464" s="4" t="inlineStr">
        <is>
          <t>45</t>
        </is>
      </c>
      <c r="Q464" s="4" t="inlineStr">
        <is>
          <t>$315m WRL project)</t>
        </is>
      </c>
      <c r="R464" s="4" t="inlineStr">
        <is>
          <t>selected</t>
        </is>
      </c>
      <c r="S464" s="4" t="inlineStr">
        <is>
          <t>Full derivative context reads '(Cost is inclusive of' / '$315m WRL project)'.</t>
        </is>
      </c>
    </row>
    <row r="465">
      <c r="A465" s="4" t="inlineStr">
        <is>
          <t>Western Renewables Link</t>
        </is>
      </c>
      <c r="B465" s="4" t="inlineStr">
        <is>
          <t>WRL-PROJECT-WRL</t>
        </is>
      </c>
      <c r="C465" s="4" t="inlineStr">
        <is>
          <t>WRL-AO-2023-PACR-WRL-INCLUDED-315</t>
        </is>
      </c>
      <c r="D465" s="4" t="inlineStr">
        <is>
          <t>cost</t>
        </is>
      </c>
      <c r="E465" s="4" t="inlineStr">
        <is>
          <t>2023-05</t>
        </is>
      </c>
      <c r="F465" s="4" t="inlineStr">
        <is>
          <t>VNI West PACR: WRL incremental cost included in both options' totals</t>
        </is>
      </c>
      <c r="G465" s="4" t="n">
        <v>315</v>
      </c>
      <c r="H465" s="4" t="inlineStr">
        <is>
          <t>AUD million</t>
        </is>
      </c>
      <c r="I465" s="4" t="inlineStr">
        <is>
          <t>FY2020-21 dollars</t>
        </is>
      </c>
      <c r="J465" s="4" t="inlineStr">
        <is>
          <t>Class 4</t>
        </is>
      </c>
      <c r="K465" s="4" t="inlineStr">
        <is>
          <t>±30%</t>
        </is>
      </c>
      <c r="L465" s="4" t="inlineStr">
        <is>
          <t>planner note within VNI West option cost (primary joint PACR)</t>
        </is>
      </c>
      <c r="M465" s="4" t="inlineStr">
        <is>
          <t>WRL scope-change incremental cost, included within and separately itemised inside the Option 5 ($3,406m NSW+VIC) and Option 5A ($3,499m NSW+VIC) VNI West all-states totals, FY2020-21 dollars; not a standalone WRL project cost</t>
        </is>
      </c>
      <c r="N465" s="4" t="inlineStr">
        <is>
          <t>Independently corroborates WRL-AO-2024-WRL-IN-VNI-315 (AEMO's 2024 ISP Appendix A5 summary of the same figure); this is the primary joint AVP/Transgrid PACR AEMO's summary draws on, not a separate source</t>
        </is>
      </c>
      <c r="O465" s="4" t="inlineStr">
        <is>
          <t>VNV-TRANSGRID-2023-PACR</t>
        </is>
      </c>
      <c r="P465" s="4" t="inlineStr">
        <is>
          <t>48</t>
        </is>
      </c>
      <c r="Q465" s="4" t="inlineStr">
        <is>
          <t>Included cost  315  315</t>
        </is>
      </c>
      <c r="R465" s="4" t="inlineStr"/>
      <c r="S465" s="4" t="inlineStr">
        <is>
          <t>PACR Table 6 states this WRL incremental cost is 'included in the totals above but separately itemised here as well for transparency', identical across both Option 5 and Option 5A. The PACR separately explains (p.48-49) that these are 'the direct costs of modifying the WRL project so that all costs associated with modifying WRL to connect VNI West at Bulgana are captured'; costs are estimated to an accuracy of ±30%, 'Class 4' under AACE classification.</t>
        </is>
      </c>
    </row>
    <row r="466">
      <c r="A466" s="4" t="inlineStr">
        <is>
          <t>Western Renewables Link</t>
        </is>
      </c>
      <c r="B466" s="4" t="inlineStr">
        <is>
          <t>WRL-PROJECT-WRL</t>
        </is>
      </c>
      <c r="C466" s="4" t="inlineStr">
        <is>
          <t>WRL-AO-2024-VNI-QUOTED-3499</t>
        </is>
      </c>
      <c r="D466" s="4" t="inlineStr">
        <is>
          <t>cost</t>
        </is>
      </c>
      <c r="E466" s="4" t="inlineStr">
        <is>
          <t>2024-06</t>
        </is>
      </c>
      <c r="F466" s="4" t="inlineStr">
        <is>
          <t>AEMO 2024 VNI West quoted project cost containing the WRL amount</t>
        </is>
      </c>
      <c r="G466" s="4" t="n">
        <v>3499</v>
      </c>
      <c r="H466" s="4" t="inlineStr">
        <is>
          <t>AUD million</t>
        </is>
      </c>
      <c r="I466" s="4" t="inlineStr">
        <is>
          <t>2020-21 dollars</t>
        </is>
      </c>
      <c r="J466" s="4" t="inlineStr">
        <is>
          <t>Class 4 (+/- 30%)</t>
        </is>
      </c>
      <c r="K466" s="4" t="inlineStr">
        <is>
          <t>Class 4 (+/- 30%)</t>
        </is>
      </c>
      <c r="L466" s="4" t="inlineStr">
        <is>
          <t>planner option cost</t>
        </is>
      </c>
      <c r="M466" s="4" t="inlineStr">
        <is>
          <t>VNI West actionable ISP project option; inclusive of the $315m WRL project</t>
        </is>
      </c>
      <c r="N466" s="4" t="inlineStr">
        <is>
          <t>A VNI West boundary figure recorded only because it contains the WRL amount; must not be attributed to WRL</t>
        </is>
      </c>
      <c r="O466" s="4" t="inlineStr">
        <is>
          <t>HUM-AEMO-2024-ISP-A5</t>
        </is>
      </c>
      <c r="P466" s="4" t="inlineStr">
        <is>
          <t>45</t>
        </is>
      </c>
      <c r="Q466" s="4" t="inlineStr">
        <is>
          <t>3,499 *</t>
        </is>
      </c>
      <c r="R466" s="4" t="inlineStr"/>
      <c r="S466" s="4" t="inlineStr">
        <is>
          <t>Recorded for boundary transparency only.</t>
        </is>
      </c>
    </row>
    <row r="467">
      <c r="A467" s="4" t="inlineStr">
        <is>
          <t>Western Renewables Link</t>
        </is>
      </c>
      <c r="B467" s="4" t="inlineStr">
        <is>
          <t>WRL-PROJECT-WRL</t>
        </is>
      </c>
      <c r="C467" s="4" t="inlineStr">
        <is>
          <t>WRL-AO-2024-VNI-MODELLING-3614</t>
        </is>
      </c>
      <c r="D467" s="4" t="inlineStr">
        <is>
          <t>cost</t>
        </is>
      </c>
      <c r="E467" s="4" t="inlineStr">
        <is>
          <t>2024-06</t>
        </is>
      </c>
      <c r="F467" s="4" t="inlineStr">
        <is>
          <t>AEMO 2024 VNI West ISP modelling cost after removing WRL</t>
        </is>
      </c>
      <c r="G467" s="4" t="n">
        <v>3614</v>
      </c>
      <c r="H467" s="4" t="inlineStr">
        <is>
          <t>AUD million</t>
        </is>
      </c>
      <c r="I467" s="4" t="inlineStr">
        <is>
          <t>Real 2023 dollars, converted from 2020-21 dollars</t>
        </is>
      </c>
      <c r="J467" s="4" t="n"/>
      <c r="K467" s="4" t="n"/>
      <c r="L467" s="4" t="inlineStr">
        <is>
          <t>planner modelling amount</t>
        </is>
      </c>
      <c r="M467" s="4" t="inlineStr">
        <is>
          <t>VNI West for ISP modelling, determined by subtracting the cost of WRL from the quoted project cost</t>
        </is>
      </c>
      <c r="N467" s="4" t="inlineStr">
        <is>
          <t>A VNI West modelling amount; the WRL residual it implies is a derivation by AEMO, not a published WRL estimate</t>
        </is>
      </c>
      <c r="O467" s="4" t="inlineStr">
        <is>
          <t>HUM-AEMO-2024-ISP-A5</t>
        </is>
      </c>
      <c r="P467" s="4" t="inlineStr">
        <is>
          <t>45</t>
        </is>
      </c>
      <c r="Q467" s="4" t="inlineStr">
        <is>
          <t>For ISP modelling, AEMO has applied a cost of $3,614 million for VNI West. This is determined by subtracting the cost of WRL from the quoted project cost in 2020-21 dollars</t>
        </is>
      </c>
      <c r="R467" s="4" t="inlineStr"/>
      <c r="S467" s="4" t="inlineStr">
        <is>
          <t>Do not back-solve a WRL cost from this figure.</t>
        </is>
      </c>
    </row>
    <row r="468">
      <c r="A468" s="4" t="inlineStr">
        <is>
          <t>Western Renewables Link</t>
        </is>
      </c>
      <c r="B468" s="4" t="inlineStr">
        <is>
          <t>WRL-PROJECT-WRL</t>
        </is>
      </c>
      <c r="C468" s="4" t="inlineStr">
        <is>
          <t>WRL-AO-2026-CIRCUITS-2</t>
        </is>
      </c>
      <c r="D468" s="4" t="inlineStr">
        <is>
          <t>circuits</t>
        </is>
      </c>
      <c r="E468" s="4" t="inlineStr">
        <is>
          <t>2026-06</t>
        </is>
      </c>
      <c r="F468" s="4" t="inlineStr">
        <is>
          <t>AEMO 2026 WRL trunk circuit configuration</t>
        </is>
      </c>
      <c r="G468" s="4" t="n">
        <v>2</v>
      </c>
      <c r="H468" s="4" t="inlineStr">
        <is>
          <t>count</t>
        </is>
      </c>
      <c r="I468" s="4" t="n"/>
      <c r="J468" s="4" t="n"/>
      <c r="K468" s="4" t="n"/>
      <c r="L468" s="4" t="inlineStr">
        <is>
          <t>current planner representation</t>
        </is>
      </c>
      <c r="M468" s="4" t="inlineStr">
        <is>
          <t>Bulgana to Sydenham trunk line; double-circuit means two circuits on one line</t>
        </is>
      </c>
      <c r="N468" s="4" t="inlineStr">
        <is>
          <t>Directly comparable with the chart's circuits field</t>
        </is>
      </c>
      <c r="O468" s="4" t="inlineStr">
        <is>
          <t>HUM-AEMO-2026-ISP-A5</t>
        </is>
      </c>
      <c r="P468" s="4" t="inlineStr">
        <is>
          <t>24</t>
        </is>
      </c>
      <c r="Q468" s="4" t="inlineStr">
        <is>
          <t>planned 500 kV double-circuit overhead electricity transmission line from Bulgana in western Victoria to</t>
        </is>
      </c>
      <c r="R468" s="4" t="inlineStr">
        <is>
          <t>selected</t>
        </is>
      </c>
      <c r="S468" s="4" t="inlineStr"/>
    </row>
    <row r="469">
      <c r="A469" s="4" t="inlineStr">
        <is>
          <t>Western Renewables Link</t>
        </is>
      </c>
      <c r="B469" s="4" t="inlineStr">
        <is>
          <t>WRL-PROJECT-WRL</t>
        </is>
      </c>
      <c r="C469" s="4" t="inlineStr">
        <is>
          <t>WRL-AO-2026-LINES-1</t>
        </is>
      </c>
      <c r="D469" s="4" t="inlineStr">
        <is>
          <t>lines</t>
        </is>
      </c>
      <c r="E469" s="4" t="inlineStr">
        <is>
          <t>2026-06</t>
        </is>
      </c>
      <c r="F469" s="4" t="inlineStr">
        <is>
          <t>AEMO 2026 WRL trunk line count</t>
        </is>
      </c>
      <c r="G469" s="4" t="n">
        <v>1</v>
      </c>
      <c r="H469" s="4" t="inlineStr">
        <is>
          <t>count</t>
        </is>
      </c>
      <c r="I469" s="4" t="n"/>
      <c r="J469" s="4" t="n"/>
      <c r="K469" s="4" t="n"/>
      <c r="L469" s="4" t="inlineStr">
        <is>
          <t>current planner representation</t>
        </is>
      </c>
      <c r="M469" s="4" t="inlineStr">
        <is>
          <t>One new trunk transmission line, Sydenham Terminal Station to Bulgana Terminal Station</t>
        </is>
      </c>
      <c r="N469" s="4" t="inlineStr">
        <is>
          <t>Directly comparable with the chart's lines field; the same asset supplies the circuits observation</t>
        </is>
      </c>
      <c r="O469" s="4" t="inlineStr">
        <is>
          <t>HUM-AEMO-2026-ISP-A5</t>
        </is>
      </c>
      <c r="P469" s="4" t="inlineStr">
        <is>
          <t>24</t>
        </is>
      </c>
      <c r="Q469" s="4" t="inlineStr">
        <is>
          <t>A new 500 kV double-circuit transmission line from Sydenham Terminal Station to Bulgana</t>
        </is>
      </c>
      <c r="R469" s="4" t="inlineStr">
        <is>
          <t>selected</t>
        </is>
      </c>
      <c r="S469" s="4" t="inlineStr"/>
    </row>
    <row r="470">
      <c r="A470" s="4" t="inlineStr">
        <is>
          <t>Western Renewables Link</t>
        </is>
      </c>
      <c r="B470" s="4" t="inlineStr">
        <is>
          <t>WRL-PROJECT-WRL</t>
        </is>
      </c>
      <c r="C470" s="4" t="inlineStr">
        <is>
          <t>WRL-AO-2026-TRANSFORMERS-1000</t>
        </is>
      </c>
      <c r="D470" s="4" t="inlineStr">
        <is>
          <t>transformers_mva</t>
        </is>
      </c>
      <c r="E470" s="4" t="inlineStr">
        <is>
          <t>2026-06</t>
        </is>
      </c>
      <c r="F470" s="4" t="inlineStr">
        <is>
          <t>AEMO 2026 Bulgana 500/220 kV transformer rating</t>
        </is>
      </c>
      <c r="G470" s="4" t="n">
        <v>1000</v>
      </c>
      <c r="H470" s="4" t="inlineStr">
        <is>
          <t>MVA</t>
        </is>
      </c>
      <c r="I470" s="4" t="n"/>
      <c r="J470" s="4" t="n"/>
      <c r="K470" s="4" t="n"/>
      <c r="L470" s="4" t="inlineStr">
        <is>
          <t>current planner representation</t>
        </is>
      </c>
      <c r="M470" s="4" t="inlineStr">
        <is>
          <t>Rating of each of two new 500/220 kV transformers at the new Bulgana 500 kV switchyard</t>
        </is>
      </c>
      <c r="N470" s="4" t="inlineStr">
        <is>
          <t>Per-unit rating, two units; not summed here</t>
        </is>
      </c>
      <c r="O470" s="4" t="inlineStr">
        <is>
          <t>HUM-AEMO-2026-ISP-A5</t>
        </is>
      </c>
      <c r="P470" s="4" t="inlineStr">
        <is>
          <t>25</t>
        </is>
      </c>
      <c r="Q470" s="4" t="inlineStr">
        <is>
          <t>A new 500 kV switchyard at Bulgana Terminal Station with two new 500/220 kV 1,000 MVA</t>
        </is>
      </c>
      <c r="R470" s="4" t="inlineStr">
        <is>
          <t>selected</t>
        </is>
      </c>
      <c r="S470" s="4" t="inlineStr">
        <is>
          <t>Source states two units of 1,000 MVA each. Bulgana is the shared VNI West interface terminal.</t>
        </is>
      </c>
    </row>
    <row r="471">
      <c r="A471" s="4" t="inlineStr">
        <is>
          <t>Western Renewables Link</t>
        </is>
      </c>
      <c r="B471" s="4" t="inlineStr">
        <is>
          <t>WRL-PROJECT-WRL</t>
        </is>
      </c>
      <c r="C471" s="4" t="inlineStr">
        <is>
          <t>WRL-AO-2024-TRANSFORMERS-1000</t>
        </is>
      </c>
      <c r="D471" s="4" t="inlineStr">
        <is>
          <t>transformers_mva</t>
        </is>
      </c>
      <c r="E471" s="4" t="inlineStr">
        <is>
          <t>2024-06</t>
        </is>
      </c>
      <c r="F471" s="4" t="inlineStr">
        <is>
          <t>AEMO 2024 Bulgana 500/220 kV transformer rating</t>
        </is>
      </c>
      <c r="G471" s="4" t="n">
        <v>1000</v>
      </c>
      <c r="H471" s="4" t="inlineStr">
        <is>
          <t>MVA</t>
        </is>
      </c>
      <c r="I471" s="4" t="n"/>
      <c r="J471" s="4" t="n"/>
      <c r="K471" s="4" t="n"/>
      <c r="L471" s="4" t="inlineStr">
        <is>
          <t>planner representation</t>
        </is>
      </c>
      <c r="M471" s="4" t="inlineStr">
        <is>
          <t>Rating of each of two new 1,000 MVA 500/220 kV transformers at a new 500 kV switchyard at Bulgana</t>
        </is>
      </c>
      <c r="N471" s="4" t="inlineStr">
        <is>
          <t>Same per-unit rating as the 2026 representation</t>
        </is>
      </c>
      <c r="O471" s="4" t="inlineStr">
        <is>
          <t>HUM-AEMO-2024-ISP-A5</t>
        </is>
      </c>
      <c r="P471" s="4" t="inlineStr">
        <is>
          <t>19</t>
        </is>
      </c>
      <c r="Q471" s="4" t="inlineStr">
        <is>
          <t>A new 500 kV switchyard with two new 1,000 MVA 500/220 kV transformers at</t>
        </is>
      </c>
      <c r="R471" s="4" t="inlineStr"/>
      <c r="S471" s="4" t="inlineStr"/>
    </row>
    <row r="472">
      <c r="A472" s="4" t="inlineStr">
        <is>
          <t>Western Renewables Link</t>
        </is>
      </c>
      <c r="B472" s="4" t="inlineStr">
        <is>
          <t>WRL-PROJECT-WRL</t>
        </is>
      </c>
      <c r="C472" s="4" t="inlineStr">
        <is>
          <t>WRL-AO-2026-VOLTAGE-500</t>
        </is>
      </c>
      <c r="D472" s="4" t="inlineStr">
        <is>
          <t>voltage</t>
        </is>
      </c>
      <c r="E472" s="4" t="inlineStr">
        <is>
          <t>2026-06</t>
        </is>
      </c>
      <c r="F472" s="4" t="inlineStr">
        <is>
          <t>AEMO 2026 WRL trunk voltage</t>
        </is>
      </c>
      <c r="G472" s="4" t="n">
        <v>500</v>
      </c>
      <c r="H472" s="4" t="inlineStr">
        <is>
          <t>kV</t>
        </is>
      </c>
      <c r="I472" s="4" t="n"/>
      <c r="J472" s="4" t="n"/>
      <c r="K472" s="4" t="n"/>
      <c r="L472" s="4" t="inlineStr">
        <is>
          <t>current planner representation</t>
        </is>
      </c>
      <c r="M472" s="4" t="inlineStr">
        <is>
          <t>Bulgana to Sydenham trunk overhead line</t>
        </is>
      </c>
      <c r="N472" s="4" t="inlineStr">
        <is>
          <t>Directly comparable across the 2024 and 2026 representations</t>
        </is>
      </c>
      <c r="O472" s="4" t="inlineStr">
        <is>
          <t>HUM-AEMO-2026-ISP-A5</t>
        </is>
      </c>
      <c r="P472" s="4" t="inlineStr">
        <is>
          <t>24</t>
        </is>
      </c>
      <c r="Q472" s="4" t="inlineStr">
        <is>
          <t>Western Renewables Link (WRL) is a planned 500 kV double-circuit overhead electricity transmission line from Bulgana in western Victoria to</t>
        </is>
      </c>
      <c r="R472" s="4" t="inlineStr"/>
      <c r="S472" s="4" t="inlineStr"/>
    </row>
    <row r="473">
      <c r="A473" s="4" t="inlineStr">
        <is>
          <t>Western Renewables Link</t>
        </is>
      </c>
      <c r="B473" s="4" t="inlineStr">
        <is>
          <t>WRL-PROJECT-WRL</t>
        </is>
      </c>
      <c r="C473" s="4" t="inlineStr">
        <is>
          <t>WRL-AO-2026-UPRATE-220-500</t>
        </is>
      </c>
      <c r="D473" s="4" t="inlineStr">
        <is>
          <t>voltage</t>
        </is>
      </c>
      <c r="E473" s="4" t="inlineStr">
        <is>
          <t>2026-06</t>
        </is>
      </c>
      <c r="F473" s="4" t="inlineStr">
        <is>
          <t>AEMO 2026 statement of the 220 kV to 500 kV uprate north of Ballarat</t>
        </is>
      </c>
      <c r="G473" s="4" t="n">
        <v>500</v>
      </c>
      <c r="H473" s="4" t="inlineStr">
        <is>
          <t>kV</t>
        </is>
      </c>
      <c r="I473" s="4" t="n"/>
      <c r="J473" s="4" t="n"/>
      <c r="K473" s="4" t="n"/>
      <c r="L473" s="4" t="inlineStr">
        <is>
          <t>planner representation of a scope version</t>
        </is>
      </c>
      <c r="M473" s="4" t="inlineStr">
        <is>
          <t>Transmission line from north of Ballarat to Bulgana, uprated from 220 kV under the May 2023 scope change</t>
        </is>
      </c>
      <c r="N473" s="4" t="inlineStr">
        <is>
          <t>Scope-version change, not an additive quantity; underlying VNI West PACR remains unarchived, but the NEVA order is now archived (VNV-VIC-GAZETTE-2023-S267; see WRL-AO-2023-UPRATE-220-500)</t>
        </is>
      </c>
      <c r="O473" s="4" t="inlineStr">
        <is>
          <t>HUM-AEMO-2026-ISP-A5</t>
        </is>
      </c>
      <c r="P473" s="4" t="inlineStr">
        <is>
          <t>24</t>
        </is>
      </c>
      <c r="Q473" s="4" t="inlineStr">
        <is>
          <t>relocation of the North Ballarat terminal station to Bulgana and upgrade of the transmission line from north of Ballarat to Bulgana from 220 kV</t>
        </is>
      </c>
      <c r="R473" s="4" t="inlineStr"/>
      <c r="S473" s="4" t="inlineStr"/>
    </row>
    <row r="474">
      <c r="A474" s="4" t="inlineStr">
        <is>
          <t>Western Renewables Link</t>
        </is>
      </c>
      <c r="B474" s="4" t="inlineStr">
        <is>
          <t>WRL-PROJECT-WRL</t>
        </is>
      </c>
      <c r="C474" s="4" t="inlineStr">
        <is>
          <t>WRL-AO-2026-COMPLETION-NOV2029</t>
        </is>
      </c>
      <c r="D474" s="4" t="inlineStr">
        <is>
          <t>completion</t>
        </is>
      </c>
      <c r="E474" s="4" t="inlineStr">
        <is>
          <t>2026-06</t>
        </is>
      </c>
      <c r="F474" s="4" t="inlineStr">
        <is>
          <t>AEMO 2026 expected completion</t>
        </is>
      </c>
      <c r="G474" s="4" t="n"/>
      <c r="H474" s="4" t="inlineStr">
        <is>
          <t>date</t>
        </is>
      </c>
      <c r="I474" s="4" t="n"/>
      <c r="J474" s="4" t="n"/>
      <c r="K474" s="4" t="n"/>
      <c r="L474" s="4" t="inlineStr">
        <is>
          <t>anticipated project</t>
        </is>
      </c>
      <c r="M474" s="4" t="inlineStr">
        <is>
          <t>Anticipated project completion as represented by AEMO; not energisation or commercial operation</t>
        </is>
      </c>
      <c r="N474" s="4" t="inlineStr">
        <is>
          <t>Supersedes the 2024 mid-2027 representation; a planner expectation, not a proponent or regulatory commitment</t>
        </is>
      </c>
      <c r="O474" s="4" t="inlineStr">
        <is>
          <t>HUM-AEMO-2026-ISP-A5</t>
        </is>
      </c>
      <c r="P474" s="4" t="inlineStr">
        <is>
          <t>24</t>
        </is>
      </c>
      <c r="Q474" s="4" t="inlineStr">
        <is>
          <t>This project is classified as an anticipated project and is expected to be completed in November 2029</t>
        </is>
      </c>
      <c r="R474" s="4" t="inlineStr">
        <is>
          <t>selected</t>
        </is>
      </c>
      <c r="S474" s="4" t="inlineStr">
        <is>
          <t>Stated value: November 2029. Delivery scope table repeats 'project November 2029'.</t>
        </is>
      </c>
    </row>
    <row r="475">
      <c r="A475" s="4" t="inlineStr">
        <is>
          <t>Western Renewables Link</t>
        </is>
      </c>
      <c r="B475" s="4" t="inlineStr">
        <is>
          <t>WRL-PROJECT-WRL</t>
        </is>
      </c>
      <c r="C475" s="4" t="inlineStr">
        <is>
          <t>WRL-AO-2024-COMPLETION-MID2027</t>
        </is>
      </c>
      <c r="D475" s="4" t="inlineStr">
        <is>
          <t>completion</t>
        </is>
      </c>
      <c r="E475" s="4" t="inlineStr">
        <is>
          <t>2024-06</t>
        </is>
      </c>
      <c r="F475" s="4" t="inlineStr">
        <is>
          <t>AEMO 2024 expected completion</t>
        </is>
      </c>
      <c r="G475" s="4" t="n"/>
      <c r="H475" s="4" t="inlineStr">
        <is>
          <t>date</t>
        </is>
      </c>
      <c r="I475" s="4" t="n"/>
      <c r="J475" s="4" t="n"/>
      <c r="K475" s="4" t="n"/>
      <c r="L475" s="4" t="inlineStr">
        <is>
          <t>anticipated project (superseded)</t>
        </is>
      </c>
      <c r="M475" s="4" t="inlineStr">
        <is>
          <t>Anticipated project completion; the delivery scope table states July 2027 for full capacity after all testing</t>
        </is>
      </c>
      <c r="N475" s="4" t="inlineStr">
        <is>
          <t>Superseded by the 2026 November 2029 representation; recorded as a contradicted earlier version</t>
        </is>
      </c>
      <c r="O475" s="4" t="inlineStr">
        <is>
          <t>HUM-AEMO-2024-ISP-A5</t>
        </is>
      </c>
      <c r="P475" s="4" t="inlineStr">
        <is>
          <t>19</t>
        </is>
      </c>
      <c r="Q475" s="4" t="inlineStr">
        <is>
          <t>This project is classified as an anticipated project and is expected to be completed in mid-2027.</t>
        </is>
      </c>
      <c r="R475" s="4" t="inlineStr"/>
      <c r="S475" s="4" t="inlineStr">
        <is>
          <t>Stated value: mid-2027; scope table states 'project July 2027*' with a full-capacity-after-testing qualifier.</t>
        </is>
      </c>
    </row>
    <row r="476">
      <c r="A476" s="4" t="inlineStr">
        <is>
          <t>Western Renewables Link</t>
        </is>
      </c>
      <c r="B476" s="4" t="inlineStr">
        <is>
          <t>WRL-PROJECT-WRL</t>
        </is>
      </c>
      <c r="C476" s="4" t="inlineStr">
        <is>
          <t>WRL-AO-2026-EES-HEARING</t>
        </is>
      </c>
      <c r="D476" s="4" t="inlineStr">
        <is>
          <t>other</t>
        </is>
      </c>
      <c r="E476" s="4" t="inlineStr">
        <is>
          <t>2026-09-03</t>
        </is>
      </c>
      <c r="F476" s="4" t="inlineStr">
        <is>
          <t>AusNet statement that the WRL EES public hearing concluded</t>
        </is>
      </c>
      <c r="G476" s="4" t="n"/>
      <c r="H476" s="4" t="inlineStr">
        <is>
          <t>date</t>
        </is>
      </c>
      <c r="I476" s="4" t="n"/>
      <c r="J476" s="4" t="n"/>
      <c r="K476" s="4" t="n"/>
      <c r="L476" s="4" t="inlineStr">
        <is>
          <t>proponent webpage statement</t>
        </is>
      </c>
      <c r="M476" s="4" t="inlineStr">
        <is>
          <t>Environment Effects Statement public hearing for WRL</t>
        </is>
      </c>
      <c r="N476" s="4" t="inlineStr">
        <is>
          <t>Proponent statement of a process milestone; the EES record itself is not archived and no outcome is stated</t>
        </is>
      </c>
      <c r="O476" s="4" t="inlineStr">
        <is>
          <t>WRL-AUSNET-PROJECT</t>
        </is>
      </c>
      <c r="P476" s="4" t="inlineStr">
        <is>
          <t>derivative line 75</t>
        </is>
      </c>
      <c r="Q476" s="4" t="inlineStr">
        <is>
          <t>The WRL EES public hearing concluded on 3 March 2026.</t>
        </is>
      </c>
      <c r="R476" s="4" t="inlineStr"/>
      <c r="S476" s="4" t="inlineStr">
        <is>
          <t>Stated value: 3 March 2026.</t>
        </is>
      </c>
    </row>
    <row r="477">
      <c r="A477" s="4" t="inlineStr">
        <is>
          <t>Western Renewables Link</t>
        </is>
      </c>
      <c r="B477" s="4" t="inlineStr">
        <is>
          <t>WRL-PROJECT-WRL</t>
        </is>
      </c>
      <c r="C477" s="4" t="inlineStr">
        <is>
          <t>WRL-AO-2023-CIRCUITS-2</t>
        </is>
      </c>
      <c r="D477" s="4" t="inlineStr">
        <is>
          <t>circuits</t>
        </is>
      </c>
      <c r="E477" s="4" t="inlineStr">
        <is>
          <t>2023-05-27</t>
        </is>
      </c>
      <c r="F477" s="4" t="inlineStr">
        <is>
          <t>s16Y Ministerial Order WRL Uprate trunk circuit configuration</t>
        </is>
      </c>
      <c r="G477" s="4" t="n">
        <v>2</v>
      </c>
      <c r="H477" s="4" t="inlineStr">
        <is>
          <t>count</t>
        </is>
      </c>
      <c r="I477" s="4" t="n"/>
      <c r="J477" s="4" t="n"/>
      <c r="K477" s="4" t="n"/>
      <c r="L477" s="4" t="inlineStr">
        <is>
          <t>legal instrument (NEVA order)</t>
        </is>
      </c>
      <c r="M477" s="4" t="inlineStr">
        <is>
          <t>WRL Uprate specified augmentation, Schedule 2 of the VNI West and WRL Ministerial Order; Sydenham Terminal Station (SYTS) to Bulgana Terminal Station (BGTS)</t>
        </is>
      </c>
      <c r="N477" s="4" t="inlineStr">
        <is>
          <t>Independent primary legal-instrument corroboration of WRL-AO-2026-CIRCUITS-2; same double-circuit configuration, this is the order underlying AEMO's later summaries</t>
        </is>
      </c>
      <c r="O477" s="4" t="inlineStr">
        <is>
          <t>VNV-VIC-GAZETTE-2023-S267</t>
        </is>
      </c>
      <c r="P477" s="4" t="inlineStr">
        <is>
          <t>8</t>
        </is>
      </c>
      <c r="Q477" s="4" t="inlineStr">
        <is>
          <t>Construction of a new 500 kV double circuit transmission line from SYTS to BGTS with switched estimated 70 MV Ar shunt line reactors at the end of each circuit.</t>
        </is>
      </c>
      <c r="R477" s="4" t="inlineStr"/>
      <c r="S477" s="4" t="inlineStr">
        <is>
          <t>SYTS = Sydenham Terminal Station; BGTS = Bulgana Terminal Station, per the Order's own defined terms.</t>
        </is>
      </c>
    </row>
    <row r="478">
      <c r="A478" s="4" t="inlineStr">
        <is>
          <t>Western Renewables Link</t>
        </is>
      </c>
      <c r="B478" s="4" t="inlineStr">
        <is>
          <t>WRL-PROJECT-WRL</t>
        </is>
      </c>
      <c r="C478" s="4" t="inlineStr">
        <is>
          <t>WRL-AO-2023-LINES-1</t>
        </is>
      </c>
      <c r="D478" s="4" t="inlineStr">
        <is>
          <t>lines</t>
        </is>
      </c>
      <c r="E478" s="4" t="inlineStr">
        <is>
          <t>2023-05-27</t>
        </is>
      </c>
      <c r="F478" s="4" t="inlineStr">
        <is>
          <t>s16Y Ministerial Order WRL Uprate trunk line count</t>
        </is>
      </c>
      <c r="G478" s="4" t="n">
        <v>1</v>
      </c>
      <c r="H478" s="4" t="inlineStr">
        <is>
          <t>count</t>
        </is>
      </c>
      <c r="I478" s="4" t="n"/>
      <c r="J478" s="4" t="n"/>
      <c r="K478" s="4" t="n"/>
      <c r="L478" s="4" t="inlineStr">
        <is>
          <t>legal instrument (NEVA order)</t>
        </is>
      </c>
      <c r="M478" s="4" t="inlineStr">
        <is>
          <t>One new WRL Uprate trunk transmission line, Sydenham Terminal Station to Bulgana Terminal Station, Schedule 2 of the Order</t>
        </is>
      </c>
      <c r="N478" s="4" t="inlineStr">
        <is>
          <t>Corroborates WRL-AO-2026-LINES-1; the same asset supplies the circuits observation</t>
        </is>
      </c>
      <c r="O478" s="4" t="inlineStr">
        <is>
          <t>VNV-VIC-GAZETTE-2023-S267</t>
        </is>
      </c>
      <c r="P478" s="4" t="inlineStr">
        <is>
          <t>8</t>
        </is>
      </c>
      <c r="Q478" s="4" t="inlineStr">
        <is>
          <t>Construction of a new 500 kV double circuit transmission line from SYTS to BGTS with switched estimated 70 MV Ar shunt line reactors at the end of each circuit.</t>
        </is>
      </c>
      <c r="R478" s="4" t="inlineStr"/>
      <c r="S478" s="4" t="inlineStr"/>
    </row>
    <row r="479">
      <c r="A479" s="4" t="inlineStr">
        <is>
          <t>Western Renewables Link</t>
        </is>
      </c>
      <c r="B479" s="4" t="inlineStr">
        <is>
          <t>WRL-PROJECT-WRL</t>
        </is>
      </c>
      <c r="C479" s="4" t="inlineStr">
        <is>
          <t>WRL-AO-2023-TRANSFORMERS-1000</t>
        </is>
      </c>
      <c r="D479" s="4" t="inlineStr">
        <is>
          <t>transformers_mva</t>
        </is>
      </c>
      <c r="E479" s="4" t="inlineStr">
        <is>
          <t>2023-05-27</t>
        </is>
      </c>
      <c r="F479" s="4" t="inlineStr">
        <is>
          <t>s16Y Ministerial Order Bulgana 500/220 kV transformer rating</t>
        </is>
      </c>
      <c r="G479" s="4" t="n">
        <v>1000</v>
      </c>
      <c r="H479" s="4" t="inlineStr">
        <is>
          <t>MVA</t>
        </is>
      </c>
      <c r="I479" s="4" t="n"/>
      <c r="J479" s="4" t="n"/>
      <c r="K479" s="4" t="n"/>
      <c r="L479" s="4" t="inlineStr">
        <is>
          <t>legal instrument (NEVA order)</t>
        </is>
      </c>
      <c r="M479" s="4" t="inlineStr">
        <is>
          <t>Rating of each of two new 500/220 kV transformers at the new Bulgana 500 kV switchyard, Schedule 2 of the Order</t>
        </is>
      </c>
      <c r="N479" s="4" t="inlineStr">
        <is>
          <t>Corroborates WRL-AO-2026-TRANSFORMERS-1000 and WRL-AO-2024-TRANSFORMERS-1000; per-unit rating, two units, not summed here</t>
        </is>
      </c>
      <c r="O479" s="4" t="inlineStr">
        <is>
          <t>VNV-VIC-GAZETTE-2023-S267</t>
        </is>
      </c>
      <c r="P479" s="4" t="inlineStr">
        <is>
          <t>8</t>
        </is>
      </c>
      <c r="Q479" s="4" t="inlineStr">
        <is>
          <t>including two 500/220 kV 1000 MV A transformers</t>
        </is>
      </c>
      <c r="R479" s="4" t="inlineStr"/>
      <c r="S479" s="4" t="inlineStr">
        <is>
          <t>This is the legal instrument underlying the AEMO 2024/2026 delivery scope statements of the same transformers.</t>
        </is>
      </c>
    </row>
    <row r="480">
      <c r="A480" s="4" t="inlineStr">
        <is>
          <t>Western Renewables Link</t>
        </is>
      </c>
      <c r="B480" s="4" t="inlineStr">
        <is>
          <t>WRL-PROJECT-WRL</t>
        </is>
      </c>
      <c r="C480" s="4" t="inlineStr">
        <is>
          <t>WRL-AO-2023-UPRATE-220-500</t>
        </is>
      </c>
      <c r="D480" s="4" t="inlineStr">
        <is>
          <t>voltage</t>
        </is>
      </c>
      <c r="E480" s="4" t="inlineStr">
        <is>
          <t>2023-05-27</t>
        </is>
      </c>
      <c r="F480" s="4" t="inlineStr">
        <is>
          <t>s16Y Ministerial Order reasons: WRL Uprate voltage change</t>
        </is>
      </c>
      <c r="G480" s="4" t="n">
        <v>500</v>
      </c>
      <c r="H480" s="4" t="inlineStr">
        <is>
          <t>kV</t>
        </is>
      </c>
      <c r="I480" s="4" t="n"/>
      <c r="J480" s="4" t="n"/>
      <c r="K480" s="4" t="n"/>
      <c r="L480" s="4" t="inlineStr">
        <is>
          <t>legal instrument (NEVA order) reasons statement</t>
        </is>
      </c>
      <c r="M480" s="4" t="inlineStr">
        <is>
          <t>WRL segment, Mount Prospect to Bulgana, per the Minister's reasons for making the Order</t>
        </is>
      </c>
      <c r="N480" s="4" t="inlineStr">
        <is>
          <t>Corroborates WRL-AO-2026-UPRATE-220-500; the Order names the pre-relocation terminal 'Mount Prospect', which the Order separately describes as 'north of Ballarat'</t>
        </is>
      </c>
      <c r="O480" s="4" t="inlineStr">
        <is>
          <t>VNV-VIC-GAZETTE-2023-S267</t>
        </is>
      </c>
      <c r="P480" s="4" t="inlineStr">
        <is>
          <t>12</t>
        </is>
      </c>
      <c r="Q480" s="4" t="inlineStr">
        <is>
          <t>the WRL segment from Mount Prospect to Bulgana should be uprated from 220 kilovolts to 500 kilovolts (the WRL Uprate)</t>
        </is>
      </c>
      <c r="R480" s="4" t="inlineStr"/>
      <c r="S480" s="4" t="inlineStr">
        <is>
          <t>Para 32 of the reasons states the WRL terminal station previously proposed for Mount Prospect (north of Ballarat) would be constructed instead at Bulgana.</t>
        </is>
      </c>
    </row>
    <row r="481">
      <c r="A481" s="4" t="inlineStr">
        <is>
          <t>Western Renewables Link</t>
        </is>
      </c>
      <c r="B481" s="4" t="inlineStr">
        <is>
          <t>WRL-PROJECT-WRL</t>
        </is>
      </c>
      <c r="C481" s="4" t="inlineStr">
        <is>
          <t>WRL-AO-2023-TERMINAL-MTPROSPECT-BULGANA</t>
        </is>
      </c>
      <c r="D481" s="4" t="inlineStr">
        <is>
          <t>other</t>
        </is>
      </c>
      <c r="E481" s="4" t="inlineStr">
        <is>
          <t>2023-05-27</t>
        </is>
      </c>
      <c r="F481" s="4" t="inlineStr">
        <is>
          <t>s16Y Ministerial Order reasons: Mount Prospect terminal relocated to Bulgana</t>
        </is>
      </c>
      <c r="G481" s="4" t="n"/>
      <c r="H481" s="4" t="n"/>
      <c r="I481" s="4" t="n"/>
      <c r="J481" s="4" t="n"/>
      <c r="K481" s="4" t="n"/>
      <c r="L481" s="4" t="inlineStr">
        <is>
          <t>legal instrument (NEVA order) reasons statement</t>
        </is>
      </c>
      <c r="M481" s="4" t="inlineStr">
        <is>
          <t>Terminal station relocation decision under Option 5A, VNI West and WRL Ministerial Order</t>
        </is>
      </c>
      <c r="N481" s="4" t="inlineStr">
        <is>
          <t>Names and dates the terminal relocation AEMO 2024/2026 later describe as 'the North Ballarat terminal station'; the Order itself calls the site 'Mount Prospect'</t>
        </is>
      </c>
      <c r="O481" s="4" t="inlineStr">
        <is>
          <t>VNV-VIC-GAZETTE-2023-S267</t>
        </is>
      </c>
      <c r="P481" s="4" t="inlineStr">
        <is>
          <t>13</t>
        </is>
      </c>
      <c r="Q481" s="4" t="inlineStr">
        <is>
          <t>Option 5A requires some changes to the WRL, including relocation of the Mount Prospect terminal station site to Bulgana and uprating the WRL from 220 kilovolts to 500 kilovolts from Mount Prospect to Bulgana.</t>
        </is>
      </c>
      <c r="R481" s="4" t="inlineStr"/>
      <c r="S481" s="4" t="inlineStr">
        <is>
          <t>Para 32 clarifies Mount Prospect is 'north of Ballarat'.</t>
        </is>
      </c>
    </row>
    <row r="482">
      <c r="A482" s="4" t="inlineStr">
        <is>
          <t>Western Renewables Link</t>
        </is>
      </c>
      <c r="B482" s="4" t="inlineStr">
        <is>
          <t>WRL-PROJECT-WRL</t>
        </is>
      </c>
      <c r="C482" s="4" t="inlineStr">
        <is>
          <t>WRL-AO-2023-UPRATE-BY-2027</t>
        </is>
      </c>
      <c r="D482" s="4" t="inlineStr">
        <is>
          <t>completion</t>
        </is>
      </c>
      <c r="E482" s="4" t="inlineStr">
        <is>
          <t>2023-05-27</t>
        </is>
      </c>
      <c r="F482" s="4" t="inlineStr">
        <is>
          <t>s16Y Ministerial Order reasons: WRL Uprate benefit timing</t>
        </is>
      </c>
      <c r="G482" s="4" t="n"/>
      <c r="H482" s="4" t="inlineStr">
        <is>
          <t>date</t>
        </is>
      </c>
      <c r="I482" s="4" t="n"/>
      <c r="J482" s="4" t="n"/>
      <c r="K482" s="4" t="n"/>
      <c r="L482" s="4" t="inlineStr">
        <is>
          <t>legal instrument (NEVA order) reasons statement</t>
        </is>
      </c>
      <c r="M482" s="4" t="inlineStr">
        <is>
          <t>WRL Uprate additional generation-capacity benefit timing as stated in the Minister's reasons; not a stated project completion date</t>
        </is>
      </c>
      <c r="N482" s="4" t="inlineStr">
        <is>
          <t>An 'as early as 2027' benefit-timing statement, not a completion date; bounds but is not equivalent to AEMO 2024's mid-2027 expected completion or AEMO 2026's November 2029</t>
        </is>
      </c>
      <c r="O482" s="4" t="inlineStr">
        <is>
          <t>VNV-VIC-GAZETTE-2023-S267</t>
        </is>
      </c>
      <c r="P482" s="4" t="inlineStr">
        <is>
          <t>12</t>
        </is>
      </c>
      <c r="Q482" s="4" t="inlineStr">
        <is>
          <t>uprated from 220 kilovolts to 500 kilovolts (the WRL Uprate), which would enable additional generation capacity in Western Victoria by as early as 2027</t>
        </is>
      </c>
      <c r="R482" s="4" t="inlineStr"/>
      <c r="S482" s="4" t="inlineStr">
        <is>
          <t>Recorded for CONTRADICTION context; do not treat as equivalent to WRL-AO-2024-COMPLETION-MID2027.</t>
        </is>
      </c>
    </row>
    <row r="483">
      <c r="A483" s="4" t="inlineStr">
        <is>
          <t>Western Renewables Link</t>
        </is>
      </c>
      <c r="B483" s="4" t="inlineStr">
        <is>
          <t>WRL-PROJECT-WRL</t>
        </is>
      </c>
      <c r="C483" s="4" t="inlineStr">
        <is>
          <t>WRL-AO-2023-PACR-19JUL2019</t>
        </is>
      </c>
      <c r="D483" s="4" t="inlineStr">
        <is>
          <t>other</t>
        </is>
      </c>
      <c r="E483" s="4" t="inlineStr">
        <is>
          <t>2023-05-27</t>
        </is>
      </c>
      <c r="F483" s="4" t="inlineStr">
        <is>
          <t>s16Y Ministerial Order definition of the WRL PACR publication date</t>
        </is>
      </c>
      <c r="G483" s="4" t="n"/>
      <c r="H483" s="4" t="inlineStr">
        <is>
          <t>date</t>
        </is>
      </c>
      <c r="I483" s="4" t="n"/>
      <c r="J483" s="4" t="n"/>
      <c r="K483" s="4" t="n"/>
      <c r="L483" s="4" t="inlineStr">
        <is>
          <t>legal instrument definition</t>
        </is>
      </c>
      <c r="M483" s="4" t="inlineStr">
        <is>
          <t>Definition of 'WRL PACR' in the VNI West and WRL Ministerial Order</t>
        </is>
      </c>
      <c r="N483" s="4" t="inlineStr">
        <is>
          <t>Gives a precise publication date for the July 2019 PACR referenced elsewhere only as '2019-07'; the PACR document itself remains unarchived</t>
        </is>
      </c>
      <c r="O483" s="4" t="inlineStr">
        <is>
          <t>VNV-VIC-GAZETTE-2023-S267</t>
        </is>
      </c>
      <c r="P483" s="4" t="inlineStr">
        <is>
          <t>2</t>
        </is>
      </c>
      <c r="Q483" s="4" t="inlineStr">
        <is>
          <t>WRL PACR means the Western Victoria Renewable Integration Project Assessment Conclusion Report published by AEMO on 19 July 2019.</t>
        </is>
      </c>
      <c r="R483" s="4" t="inlineStr"/>
      <c r="S483" s="4" t="inlineStr"/>
    </row>
  </sheetData>
  <mergeCells count="2">
    <mergeCell ref="A1:T1"/>
    <mergeCell ref="A2:T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03"/>
  <sheetViews>
    <sheetView showGridLines="0" workbookViewId="0">
      <pane ySplit="4" topLeftCell="A5" activePane="bottomLeft" state="frozen"/>
      <selection pane="bottomLeft" activeCell="A1" sqref="A1"/>
    </sheetView>
  </sheetViews>
  <sheetFormatPr baseColWidth="8" defaultRowHeight="15"/>
  <cols>
    <col width="24" customWidth="1" min="1" max="1"/>
    <col width="30" customWidth="1" min="2" max="2"/>
    <col width="16" customWidth="1" min="3" max="3"/>
    <col width="20" customWidth="1" min="4" max="4"/>
    <col width="74" customWidth="1" min="5" max="5"/>
    <col width="46" customWidth="1" min="6" max="6"/>
    <col width="26" customWidth="1" min="7" max="7"/>
    <col width="14" customWidth="1" min="8" max="8"/>
  </cols>
  <sheetData>
    <row r="1" ht="38" customHeight="1">
      <c r="A1" s="1" t="inlineStr">
        <is>
          <t>Components</t>
        </is>
      </c>
    </row>
    <row r="2" ht="26" customHeight="1">
      <c r="A2" s="2" t="inlineStr">
        <is>
          <t>Physical and delivery boundaries. Related works are never allocated to a family automatically.</t>
        </is>
      </c>
    </row>
    <row r="4" ht="30" customHeight="1">
      <c r="A4" s="3" t="inlineStr">
        <is>
          <t>Family</t>
        </is>
      </c>
      <c r="B4" s="3" t="inlineStr">
        <is>
          <t>Component ID</t>
        </is>
      </c>
      <c r="C4" s="3" t="inlineStr">
        <is>
          <t>Stage</t>
        </is>
      </c>
      <c r="D4" s="3" t="inlineStr">
        <is>
          <t>Category</t>
        </is>
      </c>
      <c r="E4" s="3" t="inlineStr">
        <is>
          <t>Description</t>
        </is>
      </c>
      <c r="F4" s="3" t="inlineStr">
        <is>
          <t>Boundary</t>
        </is>
      </c>
      <c r="G4" s="3" t="inlineStr">
        <is>
          <t>Source ID</t>
        </is>
      </c>
      <c r="H4" s="3" t="inlineStr">
        <is>
          <t>Pages</t>
        </is>
      </c>
    </row>
    <row r="5">
      <c r="A5" s="4" t="inlineStr">
        <is>
          <t>Central-West Orana Renewable Energy Zone</t>
        </is>
      </c>
      <c r="B5" s="4" t="inlineStr">
        <is>
          <t>CWO-CMP-MAIN-CORE</t>
        </is>
      </c>
      <c r="C5" s="4" t="inlineStr">
        <is>
          <t>Main (committed)</t>
        </is>
      </c>
      <c r="D5" s="4" t="inlineStr">
        <is>
          <t>Core network</t>
        </is>
      </c>
      <c r="E5" s="4" t="inlineStr">
        <is>
          <t>500 kV network from Wollar to Elong Elong via Merotherie: Barigan Creek 500 kV switching station, Merotherie 500/330 kV substation (Merotherie Energy Hub), Elong Elong 330 kV substation (Elong Elong Energy Hub), and two 500 kV double circuit lines on each section; 90 km core corridor; initial transfer capacity 4.5 GW at Barigan Creek.</t>
        </is>
      </c>
      <c r="F5" s="4" t="inlineStr">
        <is>
          <t>ACEREZ Partnership; consumer-funded through the AER revenue determination; 35-year term from financial close 4 April 2025</t>
        </is>
      </c>
      <c r="G5" s="4" t="inlineStr">
        <is>
          <t>CWO-18</t>
        </is>
      </c>
      <c r="H5" s="4" t="inlineStr">
        <is>
          <t>11, 14</t>
        </is>
      </c>
    </row>
    <row r="6">
      <c r="A6" s="4" t="inlineStr">
        <is>
          <t>Central-West Orana Renewable Energy Zone</t>
        </is>
      </c>
      <c r="B6" s="4" t="inlineStr">
        <is>
          <t>CWO-CMP-H2P</t>
        </is>
      </c>
      <c r="C6" s="4" t="inlineStr">
        <is>
          <t>Main (conditional separable portions)</t>
        </is>
      </c>
      <c r="D6" s="4" t="inlineStr">
        <is>
          <t>Hub to project network</t>
        </is>
      </c>
      <c r="E6" s="4" t="inlineStr">
        <is>
          <t>330 kV network extending from the Merotherie and Elong Elong energy hubs to generator connection points, covering a corridor of around 150 km; the authorisation sets out 13 H2P switching stations as conditional separable portions.</t>
        </is>
      </c>
      <c r="F6" s="4" t="inlineStr">
        <is>
          <t>ACEREZ Partnership; funded by access right holders through per-connection access fees, outside the consumer-funded NER-equivalent capital cost</t>
        </is>
      </c>
      <c r="G6" s="4" t="inlineStr">
        <is>
          <t>CWO-18</t>
        </is>
      </c>
      <c r="H6" s="4" t="inlineStr">
        <is>
          <t>11, 14-15</t>
        </is>
      </c>
    </row>
    <row r="7">
      <c r="A7" s="4" t="inlineStr">
        <is>
          <t>Central-West Orana Renewable Energy Zone</t>
        </is>
      </c>
      <c r="B7" s="4" t="inlineStr">
        <is>
          <t>CWO-CMP-H2P-EXCLUDED</t>
        </is>
      </c>
      <c r="C7" s="4" t="inlineStr">
        <is>
          <t>Main (excluded 2025)</t>
        </is>
      </c>
      <c r="D7" s="4" t="inlineStr">
        <is>
          <t>Hub to project network</t>
        </is>
      </c>
      <c r="E7" s="4" t="inlineStr">
        <is>
          <t>Five H2P switching stations excluded from the proposed project because the authorisation conditions were not expected to be met by 30 June 2025: MER C3, MER-C3-3, MER C3-1, MER C2-1 and ELO C3-1.</t>
        </is>
      </c>
      <c r="F7" s="4" t="inlineStr">
        <is>
          <t>Removed from the authorised project scope; not deleted from project history</t>
        </is>
      </c>
      <c r="G7" s="4" t="inlineStr">
        <is>
          <t>CWO-18</t>
        </is>
      </c>
      <c r="H7" s="4" t="inlineStr">
        <is>
          <t>12, 15</t>
        </is>
      </c>
    </row>
    <row r="8">
      <c r="A8" s="4" t="inlineStr">
        <is>
          <t>Central-West Orana Renewable Energy Zone</t>
        </is>
      </c>
      <c r="B8" s="4" t="inlineStr">
        <is>
          <t>CWO-CMP-CSS</t>
        </is>
      </c>
      <c r="C8" s="4" t="inlineStr">
        <is>
          <t>Main (committed)</t>
        </is>
      </c>
      <c r="D8" s="4" t="inlineStr">
        <is>
          <t>Centralised system strength</t>
        </is>
      </c>
      <c r="E8" s="4" t="inlineStr">
        <is>
          <t>System strength infrastructure at the energy hubs: seven 250 MVA synchronous condenser units (4 at Merotherie, 3 at Elong Elong), against an authorised nameplate rating of up to 1,750 MVA.</t>
        </is>
      </c>
      <c r="F8" s="4" t="inlineStr">
        <is>
          <t>ACEREZ Partnership; recovered from access right holders through the CSS fee component, outside the consumer-funded capital cost</t>
        </is>
      </c>
      <c r="G8" s="4" t="inlineStr">
        <is>
          <t>CWO-18</t>
        </is>
      </c>
      <c r="H8" s="4" t="inlineStr">
        <is>
          <t>15</t>
        </is>
      </c>
    </row>
    <row r="9">
      <c r="A9" s="4" t="inlineStr">
        <is>
          <t>Central-West Orana Renewable Energy Zone</t>
        </is>
      </c>
      <c r="B9" s="4" t="inlineStr">
        <is>
          <t>CWO-CMP-ENABLING</t>
        </is>
      </c>
      <c r="C9" s="4" t="inlineStr">
        <is>
          <t>Enabling (committed)</t>
        </is>
      </c>
      <c r="D9" s="4" t="inlineStr">
        <is>
          <t>Shared network upgrades</t>
        </is>
      </c>
      <c r="E9" s="4" t="inlineStr">
        <is>
          <t>New 330 kV single circuit line Bayswater-Liddell; new 330 kV single circuit line Mt Piper-Wallerawang; Barigan Creek switching station cut-in works on Lines 5A3 and 5A5 with remote end works at Bayswater, Mt Piper and Wollar; works to Line 79 to enable 500 kV overcrossings; ancillary works.</t>
        </is>
      </c>
      <c r="F9" s="4" t="inlineStr">
        <is>
          <t>Transgrid; non-contestable AER revenue determination for 2026-31</t>
        </is>
      </c>
      <c r="G9" s="4" t="inlineStr">
        <is>
          <t>CWO-21</t>
        </is>
      </c>
      <c r="H9" s="4" t="inlineStr">
        <is>
          <t>9-10</t>
        </is>
      </c>
    </row>
    <row r="10">
      <c r="A10" s="4" t="inlineStr">
        <is>
          <t>Central-West Orana Renewable Energy Zone</t>
        </is>
      </c>
      <c r="B10" s="4" t="inlineStr">
        <is>
          <t>CWO-CMP-BCSS</t>
        </is>
      </c>
      <c r="C10" s="4" t="inlineStr">
        <is>
          <t>Transferring</t>
        </is>
      </c>
      <c r="D10" s="4" t="inlineStr">
        <is>
          <t>Switching station</t>
        </is>
      </c>
      <c r="E10" s="4" t="inlineStr">
        <is>
          <t>Barigan Creek 500 kV switching station: authorised in the Main project and constructed and pre-commissioned by ACEREZ, then transferred to Transgrid under the Enabling authorisation, with a $186.8 million purchase price to be dealt with in a future determination.</t>
        </is>
      </c>
      <c r="F10" s="4" t="inlineStr">
        <is>
          <t>Ownership and funding boundary moves from ACEREZ/Main to Transgrid/Enabling; the incremental expenditure is in neither current determination</t>
        </is>
      </c>
      <c r="G10" s="4" t="inlineStr">
        <is>
          <t>CWO-21</t>
        </is>
      </c>
      <c r="H10" s="4" t="inlineStr">
        <is>
          <t>7, 10</t>
        </is>
      </c>
    </row>
    <row r="11">
      <c r="A11" s="4" t="inlineStr">
        <is>
          <t>Central-West Orana Renewable Energy Zone</t>
        </is>
      </c>
      <c r="B11" s="4" t="inlineStr">
        <is>
          <t>CWO-CMP-EXPANSION</t>
        </is>
      </c>
      <c r="C11" s="4" t="inlineStr">
        <is>
          <t>Expansion (actionable, future)</t>
        </is>
      </c>
      <c r="D11" s="4" t="inlineStr">
        <is>
          <t>REZ expansion</t>
        </is>
      </c>
      <c r="E11" s="4" t="inlineStr">
        <is>
          <t>Merotherie-B 500/330 kV substation with 3 x 1,500 MVA transformers; re-termination of one Merotherie-Barigan Creek 500 kV DCST line at Merotherie-B and Wollar; a new DCST 500 kV line between Merotherie-A and Merotherie-B; Elong Elong expanded to 500/330 kV with 3 x 1,500 MVA transformers; Merotherie-Elong Elong lines operated at 500 kV.</t>
        </is>
      </c>
      <c r="F11" s="4" t="inlineStr">
        <is>
          <t>Actionable New South Wales project under the EII Act; no proponent, authorisation or revenue determination observed; +1,500 MW, reported cost $855m, timing March 2033</t>
        </is>
      </c>
      <c r="G11" s="4" t="inlineStr">
        <is>
          <t>CWO-22</t>
        </is>
      </c>
      <c r="H11" s="4" t="inlineStr">
        <is>
          <t>56-57</t>
        </is>
      </c>
    </row>
    <row r="12">
      <c r="A12" s="4" t="inlineStr">
        <is>
          <t>Central-West Orana Renewable Energy Zone</t>
        </is>
      </c>
      <c r="B12" s="4" t="inlineStr">
        <is>
          <t>CWO-CMP-BANNABY</t>
        </is>
      </c>
      <c r="C12" s="4" t="inlineStr">
        <is>
          <t>Related (statutory inclusion only)</t>
        </is>
      </c>
      <c r="D12" s="4" t="inlineStr">
        <is>
          <t>Substation</t>
        </is>
      </c>
      <c r="E12" s="4" t="inlineStr">
        <is>
          <t>Bannaby 500 kV substation, added to the specified REZ network infrastructure by the November 2025 ministerial amendment. No cost is allocated to this component in this pack.</t>
        </is>
      </c>
      <c r="F12" s="4" t="inlineStr">
        <is>
          <t>Family-level statutory inclusion only; no observed attribution to the Main, Enabling or Expansion cost boundary, and no funding pathway observed</t>
        </is>
      </c>
      <c r="G12" s="4" t="inlineStr">
        <is>
          <t>CWO-20</t>
        </is>
      </c>
      <c r="H12" s="4" t="inlineStr">
        <is>
          <t>2-7</t>
        </is>
      </c>
    </row>
    <row r="13">
      <c r="A13" s="4" t="inlineStr">
        <is>
          <t>Central-West Orana Renewable Energy Zone</t>
        </is>
      </c>
      <c r="B13" s="4" t="inlineStr">
        <is>
          <t>CWO-CMP-ACCESS-SCHEME</t>
        </is>
      </c>
      <c r="C13" s="4" t="inlineStr">
        <is>
          <t>Access scheme</t>
        </is>
      </c>
      <c r="D13" s="4" t="inlineStr">
        <is>
          <t>Regulatory instrument</t>
        </is>
      </c>
      <c r="E13" s="4" t="inlineStr">
        <is>
          <t>Per-point-of-connection access fee determinations recovering H2P and centralised system strength costs from access right holders under the formula Access FeeQ=(((C&amp;E FeeQ+ Non C&amp;E FeeQ + CSS FeeQ ) x Maximum Capacity) + H2P FeeQ ) x Fixed Indexation; a separate determination exists for each point of connection.</t>
        </is>
      </c>
      <c r="F13" s="4" t="inlineStr">
        <is>
          <t>AEMO Services / Consumer Trustee; generator-funded, separate from both revenue determinations</t>
        </is>
      </c>
      <c r="G13" s="4" t="inlineStr">
        <is>
          <t>CWO-13</t>
        </is>
      </c>
      <c r="H13" s="4" t="inlineStr">
        <is>
          <t>7-8</t>
        </is>
      </c>
    </row>
    <row r="14">
      <c r="A14" s="4" t="inlineStr">
        <is>
          <t>HumeLink</t>
        </is>
      </c>
      <c r="B14" s="4" t="inlineStr">
        <is>
          <t>HUM-CMP-LINE-MARAGLE-BANNABY</t>
        </is>
      </c>
      <c r="C14" s="4" t="inlineStr">
        <is>
          <t>Core</t>
        </is>
      </c>
      <c r="D14" s="4" t="inlineStr">
        <is>
          <t>Transmission line</t>
        </is>
      </c>
      <c r="E14" s="4" t="inlineStr">
        <is>
          <t>A new 500 kV transmission circuit between Maragle and Bannaby 500 kV substations, built on double-circuit structures.</t>
        </is>
      </c>
      <c r="F14" s="4" t="inlineStr">
        <is>
          <t>HumeLink committed scope; section length not separately stated in the 2026 ISP</t>
        </is>
      </c>
      <c r="G14" s="4" t="inlineStr">
        <is>
          <t>HUM-AEMO-2026-ISP-A5</t>
        </is>
      </c>
      <c r="H14" s="4" t="inlineStr">
        <is>
          <t>18-19</t>
        </is>
      </c>
    </row>
    <row r="15">
      <c r="A15" s="4" t="inlineStr">
        <is>
          <t>HumeLink</t>
        </is>
      </c>
      <c r="B15" s="4" t="inlineStr">
        <is>
          <t>HUM-CMP-LINE-MARAGLE-GUGAA</t>
        </is>
      </c>
      <c r="C15" s="4" t="inlineStr">
        <is>
          <t>Core</t>
        </is>
      </c>
      <c r="D15" s="4" t="inlineStr">
        <is>
          <t>Transmission line</t>
        </is>
      </c>
      <c r="E15" s="4" t="inlineStr">
        <is>
          <t>A new 500 kV transmission circuit between Maragle and Gugaa 500 kV substations, built on double-circuit structures.</t>
        </is>
      </c>
      <c r="F15" s="4" t="inlineStr">
        <is>
          <t>HumeLink committed scope; section length not separately stated in the 2026 ISP</t>
        </is>
      </c>
      <c r="G15" s="4" t="inlineStr">
        <is>
          <t>HUM-AEMO-2026-ISP-A5</t>
        </is>
      </c>
      <c r="H15" s="4" t="inlineStr">
        <is>
          <t>18-19</t>
        </is>
      </c>
    </row>
    <row r="16">
      <c r="A16" s="4" t="inlineStr">
        <is>
          <t>HumeLink</t>
        </is>
      </c>
      <c r="B16" s="4" t="inlineStr">
        <is>
          <t>HUM-CMP-LINE-GUGAA-BANNABY</t>
        </is>
      </c>
      <c r="C16" s="4" t="inlineStr">
        <is>
          <t>Core</t>
        </is>
      </c>
      <c r="D16" s="4" t="inlineStr">
        <is>
          <t>Transmission line</t>
        </is>
      </c>
      <c r="E16" s="4" t="inlineStr">
        <is>
          <t>A new 500 kV transmission circuit between Gugaa and Bannaby 500 kV substations, built on double-circuit structures.</t>
        </is>
      </c>
      <c r="F16" s="4" t="inlineStr">
        <is>
          <t>HumeLink committed scope; section length not separately stated in the 2026 ISP</t>
        </is>
      </c>
      <c r="G16" s="4" t="inlineStr">
        <is>
          <t>HUM-AEMO-2026-ISP-A5</t>
        </is>
      </c>
      <c r="H16" s="4" t="inlineStr">
        <is>
          <t>18-19</t>
        </is>
      </c>
    </row>
    <row r="17">
      <c r="A17" s="4" t="inlineStr">
        <is>
          <t>HumeLink</t>
        </is>
      </c>
      <c r="B17" s="4" t="inlineStr">
        <is>
          <t>HUM-CMP-SUB-GUGAA</t>
        </is>
      </c>
      <c r="C17" s="4" t="inlineStr">
        <is>
          <t>Core</t>
        </is>
      </c>
      <c r="D17" s="4" t="inlineStr">
        <is>
          <t>Substation</t>
        </is>
      </c>
      <c r="E17" s="4" t="inlineStr">
        <is>
          <t>New Gugaa 500/330 kV substation, called the new Wagga Wagga 500/330 kV substation in the 2021 PACR and Gregadoo in the NSW planning decision.</t>
        </is>
      </c>
      <c r="F17" s="4" t="inlineStr">
        <is>
          <t>HumeLink committed scope</t>
        </is>
      </c>
      <c r="G17" s="4" t="inlineStr">
        <is>
          <t>HUM-AEMO-2026-ISP-A5</t>
        </is>
      </c>
      <c r="H17" s="4" t="inlineStr">
        <is>
          <t>18</t>
        </is>
      </c>
    </row>
    <row r="18">
      <c r="A18" s="4" t="inlineStr">
        <is>
          <t>HumeLink</t>
        </is>
      </c>
      <c r="B18" s="4" t="inlineStr">
        <is>
          <t>HUM-CMP-LINE-GUGAA-WAGGA</t>
        </is>
      </c>
      <c r="C18" s="4" t="inlineStr">
        <is>
          <t>Core</t>
        </is>
      </c>
      <c r="D18" s="4" t="inlineStr">
        <is>
          <t>Connection line</t>
        </is>
      </c>
      <c r="E18" s="4" t="inlineStr">
        <is>
          <t>A new 500 kV double-circuit line between Gugaa and Wagga Wagga, initially operated at 330 kV.</t>
        </is>
      </c>
      <c r="F18" s="4" t="inlineStr">
        <is>
          <t>HumeLink committed scope; a lower-voltage-operated connection whose length is not stated. AEMO notes the conductor rating between Wagga Wagga and Gugaa limits South West NSW REZ capacity to 400 MW, down from 800 MW</t>
        </is>
      </c>
      <c r="G18" s="4" t="inlineStr">
        <is>
          <t>HUM-AEMO-2026-ISP-A5</t>
        </is>
      </c>
      <c r="H18" s="4" t="inlineStr">
        <is>
          <t>18</t>
        </is>
      </c>
    </row>
    <row r="19">
      <c r="A19" s="4" t="inlineStr">
        <is>
          <t>HumeLink</t>
        </is>
      </c>
      <c r="B19" s="4" t="inlineStr">
        <is>
          <t>HUM-CMP-TX-MARAGLE</t>
        </is>
      </c>
      <c r="C19" s="4" t="inlineStr">
        <is>
          <t>Core</t>
        </is>
      </c>
      <c r="D19" s="4" t="inlineStr">
        <is>
          <t>Transformers</t>
        </is>
      </c>
      <c r="E19" s="4" t="inlineStr">
        <is>
          <t>Three 500/330 kV 1,500 MVA transformers at Maragle substation.</t>
        </is>
      </c>
      <c r="F19" s="4" t="inlineStr">
        <is>
          <t>HumeLink committed scope; unit ratings published, no cumulative MVA total published</t>
        </is>
      </c>
      <c r="G19" s="4" t="inlineStr">
        <is>
          <t>HUM-AEMO-2026-ISP-A5</t>
        </is>
      </c>
      <c r="H19" s="4" t="inlineStr">
        <is>
          <t>19</t>
        </is>
      </c>
    </row>
    <row r="20">
      <c r="A20" s="4" t="inlineStr">
        <is>
          <t>HumeLink</t>
        </is>
      </c>
      <c r="B20" s="4" t="inlineStr">
        <is>
          <t>HUM-CMP-TX-GUGAA</t>
        </is>
      </c>
      <c r="C20" s="4" t="inlineStr">
        <is>
          <t>Core</t>
        </is>
      </c>
      <c r="D20" s="4" t="inlineStr">
        <is>
          <t>Transformers</t>
        </is>
      </c>
      <c r="E20" s="4" t="inlineStr">
        <is>
          <t>Two 500/330 kV 1,500 MVA transformers at the new Gugaa substation.</t>
        </is>
      </c>
      <c r="F20" s="4" t="inlineStr">
        <is>
          <t>HumeLink committed scope; unit ratings published, no cumulative MVA total published</t>
        </is>
      </c>
      <c r="G20" s="4" t="inlineStr">
        <is>
          <t>HUM-AEMO-2026-ISP-A5</t>
        </is>
      </c>
      <c r="H20" s="4" t="inlineStr">
        <is>
          <t>19</t>
        </is>
      </c>
    </row>
    <row r="21">
      <c r="A21" s="4" t="inlineStr">
        <is>
          <t>HumeLink</t>
        </is>
      </c>
      <c r="B21" s="4" t="inlineStr">
        <is>
          <t>HUM-CMP-REACTORS</t>
        </is>
      </c>
      <c r="C21" s="4" t="inlineStr">
        <is>
          <t>Core</t>
        </is>
      </c>
      <c r="D21" s="4" t="inlineStr">
        <is>
          <t>Reactive plant</t>
        </is>
      </c>
      <c r="E21" s="4" t="inlineStr">
        <is>
          <t>500 kV line shunt reactors at the ends of the Maragle-Bannaby, Maragle-Gugaa and Gugaa-Bannaby 500 kV lines.</t>
        </is>
      </c>
      <c r="F21" s="4" t="inlineStr">
        <is>
          <t>HumeLink committed scope; MVAr ratings not stated. No synchronous condensers are listed anywhere in the scope</t>
        </is>
      </c>
      <c r="G21" s="4" t="inlineStr">
        <is>
          <t>HUM-AEMO-2026-ISP-A5</t>
        </is>
      </c>
      <c r="H21" s="4" t="inlineStr">
        <is>
          <t>19</t>
        </is>
      </c>
    </row>
    <row r="22">
      <c r="A22" s="4" t="inlineStr">
        <is>
          <t>HumeLink</t>
        </is>
      </c>
      <c r="B22" s="4" t="inlineStr">
        <is>
          <t>HUM-CMP-SUB-AUGMENTATIONS</t>
        </is>
      </c>
      <c r="C22" s="4" t="inlineStr">
        <is>
          <t>Core</t>
        </is>
      </c>
      <c r="D22" s="4" t="inlineStr">
        <is>
          <t>Substation augmentation</t>
        </is>
      </c>
      <c r="E22" s="4" t="inlineStr">
        <is>
          <t>Augmentation of the substations at Maragle, Wagga Wagga and Bannaby to accommodate the additional transmission lines and transformers.</t>
        </is>
      </c>
      <c r="F22" s="4" t="inlineStr">
        <is>
          <t>HumeLink committed scope</t>
        </is>
      </c>
      <c r="G22" s="4" t="inlineStr">
        <is>
          <t>HUM-AEMO-2026-ISP-A5</t>
        </is>
      </c>
      <c r="H22" s="4" t="inlineStr">
        <is>
          <t>19</t>
        </is>
      </c>
    </row>
    <row r="23">
      <c r="A23" s="4" t="inlineStr">
        <is>
          <t>HumeLink</t>
        </is>
      </c>
      <c r="B23" s="4" t="inlineStr">
        <is>
          <t>HUM-CMP-LINE51</t>
        </is>
      </c>
      <c r="C23" s="4" t="inlineStr">
        <is>
          <t>Core</t>
        </is>
      </c>
      <c r="D23" s="4" t="inlineStr">
        <is>
          <t>Rebuild</t>
        </is>
      </c>
      <c r="E23" s="4" t="inlineStr">
        <is>
          <t>Demolition and rebuild of around 2 km of Line 51 as a double circuit 330 kV transmission line connecting to the existing Wagga 330 kV substation.</t>
        </is>
      </c>
      <c r="F23" s="4" t="inlineStr">
        <is>
          <t>Made explicit only by the NSW planning approval; a lower-voltage connection inside the approved development</t>
        </is>
      </c>
      <c r="G23" s="4" t="inlineStr">
        <is>
          <t>HUM-NSW-2024-DECISION</t>
        </is>
      </c>
      <c r="H23" s="4" t="inlineStr">
        <is>
          <t>1</t>
        </is>
      </c>
    </row>
    <row r="24">
      <c r="A24" s="4" t="inlineStr">
        <is>
          <t>HumeLink</t>
        </is>
      </c>
      <c r="B24" s="4" t="inlineStr">
        <is>
          <t>HUM-CMP-EARLYWORKS</t>
        </is>
      </c>
      <c r="C24" s="4" t="inlineStr">
        <is>
          <t>Stage 1</t>
        </is>
      </c>
      <c r="D24" s="4" t="inlineStr">
        <is>
          <t>Enabling works</t>
        </is>
      </c>
      <c r="E24" s="4" t="inlineStr">
        <is>
          <t>Early works: pre-construction activities that keep open the option to continue, defer or cancel, covering detailed engineering design, project initiation, cost estimation, land-use planning and stakeholder engagement.</t>
        </is>
      </c>
      <c r="F24" s="4" t="inlineStr">
        <is>
          <t>Enabling activities inside the project, not a separate continuing project</t>
        </is>
      </c>
      <c r="G24" s="4" t="inlineStr">
        <is>
          <t>HUM-TG-2022-CPA1-SCOPE</t>
        </is>
      </c>
      <c r="H24" s="4" t="inlineStr">
        <is>
          <t>6</t>
        </is>
      </c>
    </row>
    <row r="25">
      <c r="A25" s="4" t="inlineStr">
        <is>
          <t>HumeLink</t>
        </is>
      </c>
      <c r="B25" s="4" t="inlineStr">
        <is>
          <t>HUM-CMP-LLE</t>
        </is>
      </c>
      <c r="C25" s="4" t="inlineStr">
        <is>
          <t>Stage 1 Part 2</t>
        </is>
      </c>
      <c r="D25" s="4" t="inlineStr">
        <is>
          <t>Long lead equipment</t>
        </is>
      </c>
      <c r="E25" s="4" t="inlineStr">
        <is>
          <t>Procurement of long lead equipment including transformers, reactors, conductors and steel towers, brought forward into early works.</t>
        </is>
      </c>
      <c r="F25" s="4" t="inlineStr">
        <is>
          <t>Rebundled from Stage 2 into Stage 1 Part 2; reduces what remains in Stage 2 and must not be counted twice</t>
        </is>
      </c>
      <c r="G25" s="4" t="inlineStr">
        <is>
          <t>HUM-AER-2023-CPA1P2</t>
        </is>
      </c>
      <c r="H25" s="4" t="inlineStr">
        <is>
          <t>9</t>
        </is>
      </c>
    </row>
    <row r="26">
      <c r="A26" s="4" t="inlineStr">
        <is>
          <t>HumeLink</t>
        </is>
      </c>
      <c r="B26" s="4" t="inlineStr">
        <is>
          <t>HUM-CMP-PKG-EAST</t>
        </is>
      </c>
      <c r="C26" s="4" t="inlineStr">
        <is>
          <t>Stage 2</t>
        </is>
      </c>
      <c r="D26" s="4" t="inlineStr">
        <is>
          <t>Delivery package</t>
        </is>
      </c>
      <c r="E26" s="4" t="inlineStr">
        <is>
          <t>HumeLink East: primarily the transmission line works from the interface point to the eastern terminus at Bannaby, with roughly double the HV line length of the West package and relatively small substation works.</t>
        </is>
      </c>
      <c r="F26" s="4" t="inlineStr">
        <is>
          <t>A contract/delivery package, not a physical component; it overlaps lines, substations and indirect work</t>
        </is>
      </c>
      <c r="G26" s="4" t="inlineStr">
        <is>
          <t>HUM-TG-2024-CPA2</t>
        </is>
      </c>
      <c r="H26" s="4" t="inlineStr">
        <is>
          <t>49</t>
        </is>
      </c>
    </row>
    <row r="27">
      <c r="A27" s="4" t="inlineStr">
        <is>
          <t>HumeLink</t>
        </is>
      </c>
      <c r="B27" s="4" t="inlineStr">
        <is>
          <t>HUM-CMP-PKG-WEST</t>
        </is>
      </c>
      <c r="C27" s="4" t="inlineStr">
        <is>
          <t>Stage 2</t>
        </is>
      </c>
      <c r="D27" s="4" t="inlineStr">
        <is>
          <t>Delivery package</t>
        </is>
      </c>
      <c r="E27" s="4" t="inlineStr">
        <is>
          <t>HumeLink West: the lines from the interface point south to the Snowy 2.0 connection at Maragle and west to Wagga Wagga, with more substation works including the new Gugaa substation.</t>
        </is>
      </c>
      <c r="F27" s="4" t="inlineStr">
        <is>
          <t>A contract/delivery package, not a physical component; it overlaps lines, substations and indirect work</t>
        </is>
      </c>
      <c r="G27" s="4" t="inlineStr">
        <is>
          <t>HUM-TG-2024-CPA2</t>
        </is>
      </c>
      <c r="H27" s="4" t="inlineStr">
        <is>
          <t>49</t>
        </is>
      </c>
    </row>
    <row r="28">
      <c r="A28" s="4" t="inlineStr">
        <is>
          <t>HumeLink</t>
        </is>
      </c>
      <c r="B28" s="4" t="inlineStr">
        <is>
          <t>HUM-CMP-WONDALGA</t>
        </is>
      </c>
      <c r="C28" s="4" t="inlineStr">
        <is>
          <t>Related</t>
        </is>
      </c>
      <c r="D28" s="4" t="inlineStr">
        <is>
          <t>Separate actionable project</t>
        </is>
      </c>
      <c r="E28" s="4" t="inlineStr">
        <is>
          <t>Switching Station Near Wondalga: a switching station at the Y-point connecting the three 500 kV HumeLink lines, plus four line reactors, reported at $220 million Class 5b (±50%) with proponent timing of April 2031.</t>
        </is>
      </c>
      <c r="F28" s="4" t="inlineStr">
        <is>
          <t>A formally separate actionable ISP project that names HumeLink as its prerequisite; not part of HumeLink's approved scope or cost</t>
        </is>
      </c>
      <c r="G28" s="4" t="inlineStr">
        <is>
          <t>HUM-AEMO-2026-ISP-A5</t>
        </is>
      </c>
      <c r="H28" s="4" t="inlineStr">
        <is>
          <t>47-48</t>
        </is>
      </c>
    </row>
    <row r="29">
      <c r="A29" s="4" t="inlineStr">
        <is>
          <t>Hunter Transmission Project</t>
        </is>
      </c>
      <c r="B29" s="4" t="inlineStr">
        <is>
          <t>HTP-CMP-TRUNK-LINE</t>
        </is>
      </c>
      <c r="C29" s="4" t="inlineStr">
        <is>
          <t>Core</t>
        </is>
      </c>
      <c r="D29" s="4" t="inlineStr">
        <is>
          <t>Transmission line</t>
        </is>
      </c>
      <c r="E29" s="4" t="inlineStr">
        <is>
          <t>A new 500 kV double-circuit line between Olney substation and Bayswater South substation.</t>
        </is>
      </c>
      <c r="F29" s="4" t="inlineStr">
        <is>
          <t>AEMO CNSW-SNW Option 1 scope; route length of 110 km stated by EnergyCo's 2026 project and infrastructure pages (see HTP-AO-2026-ENERGYCO-TRUNK-KM)</t>
        </is>
      </c>
      <c r="G29" s="4" t="inlineStr">
        <is>
          <t>HUM-AEMO-2026-ISP-A5</t>
        </is>
      </c>
      <c r="H29" s="4" t="inlineStr">
        <is>
          <t>39</t>
        </is>
      </c>
    </row>
    <row r="30">
      <c r="A30" s="4" t="inlineStr">
        <is>
          <t>Hunter Transmission Project</t>
        </is>
      </c>
      <c r="B30" s="4" t="inlineStr">
        <is>
          <t>HTP-CMP-SWITCHING</t>
        </is>
      </c>
      <c r="C30" s="4" t="inlineStr">
        <is>
          <t>Core</t>
        </is>
      </c>
      <c r="D30" s="4" t="inlineStr">
        <is>
          <t>Switching stations</t>
        </is>
      </c>
      <c r="E30" s="4" t="inlineStr">
        <is>
          <t>New switching stations at Bayswater South (near Bayswater substation) and Olney (near Eraring substation).</t>
        </is>
      </c>
      <c r="F30" s="4" t="inlineStr">
        <is>
          <t>AEMO CNSW-SNW Option 1 scope</t>
        </is>
      </c>
      <c r="G30" s="4" t="inlineStr">
        <is>
          <t>HUM-AEMO-2026-ISP-A5</t>
        </is>
      </c>
      <c r="H30" s="4" t="inlineStr">
        <is>
          <t>39</t>
        </is>
      </c>
    </row>
    <row r="31">
      <c r="A31" s="4" t="inlineStr">
        <is>
          <t>Hunter Transmission Project</t>
        </is>
      </c>
      <c r="B31" s="4" t="inlineStr">
        <is>
          <t>HTP-CMP-CONNECTIONS</t>
        </is>
      </c>
      <c r="C31" s="4" t="inlineStr">
        <is>
          <t>Core</t>
        </is>
      </c>
      <c r="D31" s="4" t="inlineStr">
        <is>
          <t>Connections</t>
        </is>
      </c>
      <c r="E31" s="4" t="inlineStr">
        <is>
          <t>500 kV connections between Bayswater and Bayswater South substations, and between Eraring and Olney substations.</t>
        </is>
      </c>
      <c r="F31" s="4" t="inlineStr">
        <is>
          <t>AEMO CNSW-SNW Option 1 scope</t>
        </is>
      </c>
      <c r="G31" s="4" t="inlineStr">
        <is>
          <t>HUM-AEMO-2026-ISP-A5</t>
        </is>
      </c>
      <c r="H31" s="4" t="inlineStr">
        <is>
          <t>39</t>
        </is>
      </c>
    </row>
    <row r="32">
      <c r="A32" s="4" t="inlineStr">
        <is>
          <t>Hunter Transmission Project</t>
        </is>
      </c>
      <c r="B32" s="4" t="inlineStr">
        <is>
          <t>HTP-CMP-TRANSFORMERS</t>
        </is>
      </c>
      <c r="C32" s="4" t="inlineStr">
        <is>
          <t>Core</t>
        </is>
      </c>
      <c r="D32" s="4" t="inlineStr">
        <is>
          <t>Transformers</t>
        </is>
      </c>
      <c r="E32" s="4" t="inlineStr">
        <is>
          <t>Two 500/330 kV 1,500 MVA transformers at Eraring substation.</t>
        </is>
      </c>
      <c r="F32" s="4" t="inlineStr">
        <is>
          <t>AEMO CNSW-SNW Option 1 scope; unchanged from the 2024 ISP description</t>
        </is>
      </c>
      <c r="G32" s="4" t="inlineStr">
        <is>
          <t>HUM-AEMO-2026-ISP-A5</t>
        </is>
      </c>
      <c r="H32" s="4" t="inlineStr">
        <is>
          <t>39</t>
        </is>
      </c>
    </row>
    <row r="33">
      <c r="A33" s="4" t="inlineStr">
        <is>
          <t>Hunter Transmission Project</t>
        </is>
      </c>
      <c r="B33" s="4" t="inlineStr">
        <is>
          <t>HTP-CMP-REACTORS</t>
        </is>
      </c>
      <c r="C33" s="4" t="inlineStr">
        <is>
          <t>Core</t>
        </is>
      </c>
      <c r="D33" s="4" t="inlineStr">
        <is>
          <t>Reactive plant</t>
        </is>
      </c>
      <c r="E33" s="4" t="inlineStr">
        <is>
          <t>Line reactors on the 500 kV transmission lines between Olney and Bayswater South.</t>
        </is>
      </c>
      <c r="F33" s="4" t="inlineStr">
        <is>
          <t>AEMO CNSW-SNW Option 1 scope; AEMO 2024 noted the need for line reactors was subject to ongoing joint planning with EnergyCo and Transgrid</t>
        </is>
      </c>
      <c r="G33" s="4" t="inlineStr">
        <is>
          <t>HUM-AEMO-2026-ISP-A5</t>
        </is>
      </c>
      <c r="H33" s="4" t="inlineStr">
        <is>
          <t>39</t>
        </is>
      </c>
    </row>
    <row r="34">
      <c r="A34" s="4" t="inlineStr">
        <is>
          <t>Hunter Transmission Project</t>
        </is>
      </c>
      <c r="B34" s="4" t="inlineStr">
        <is>
          <t>HTP-CMP-WSB</t>
        </is>
      </c>
      <c r="C34" s="4" t="inlineStr">
        <is>
          <t>Bundled by AEMO</t>
        </is>
      </c>
      <c r="D34" s="4" t="inlineStr">
        <is>
          <t>Storage and SIPS</t>
        </is>
      </c>
      <c r="E34" s="4" t="inlineStr">
        <is>
          <t>Waratah Super Battery with a System Integrity Protection Scheme and minor network augmentation increasing thermal capacity of Bannaby-Sydney West, Yass-Marulan and Yass-Collector-Marulan 330 kV lines.</t>
        </is>
      </c>
      <c r="F34" s="4" t="inlineStr">
        <is>
          <t>Included in AEMO's HTP representation but provisionally a distinct project; no WSB record was captured and no WSB amount is added</t>
        </is>
      </c>
      <c r="G34" s="4" t="inlineStr">
        <is>
          <t>HUM-AEMO-2026-ISP-A5</t>
        </is>
      </c>
      <c r="H34" s="4" t="inlineStr">
        <is>
          <t>38</t>
        </is>
      </c>
    </row>
    <row r="35">
      <c r="A35" s="4" t="inlineStr">
        <is>
          <t>Hunter Transmission Project</t>
        </is>
      </c>
      <c r="B35" s="4" t="inlineStr">
        <is>
          <t>HTP-CMP-HCC-REZ-WORKS</t>
        </is>
      </c>
      <c r="C35" s="4" t="inlineStr">
        <is>
          <t>Related project</t>
        </is>
      </c>
      <c r="D35" s="4" t="inlineStr">
        <is>
          <t>REZ distribution works</t>
        </is>
      </c>
      <c r="E35" s="4" t="inlineStr">
        <is>
          <t>Hunter-Central Coast REZ non-contestable network infrastructure project (Ausgrid): Portion 1 Upper Hunter secondary systems modernisation (350MW, late 2025); Portion 2 Muswellbrook network rearrangement, Singleton to Kurri 132kV link and Hawkesbury River communications link (cumulative 630MW, June 2028); Portion 3 new Antiene 132kV switching station and Antiene to Singleton 132kV link (cumulative 1 GW, July 2028). AER determined $189.6 million ($ nominal) total revenue for 2026-31 to deliver it.</t>
        </is>
      </c>
      <c r="F35" s="4" t="inlineStr">
        <is>
          <t>Ausgrid distribution, not HTP</t>
        </is>
      </c>
      <c r="G35" s="4" t="inlineStr">
        <is>
          <t>HTP-AER-2025-FINALDECISION</t>
        </is>
      </c>
      <c r="H35" s="4" t="inlineStr">
        <is>
          <t>9</t>
        </is>
      </c>
    </row>
    <row r="36">
      <c r="A36" s="4" t="inlineStr">
        <is>
          <t>Project Marinus</t>
        </is>
      </c>
      <c r="B36" s="4" t="inlineStr">
        <is>
          <t>ML-CMP-STAGE1-HVDC</t>
        </is>
      </c>
      <c r="C36" s="4" t="inlineStr">
        <is>
          <t>Stage 1</t>
        </is>
      </c>
      <c r="D36" s="4" t="inlineStr">
        <is>
          <t>HVDC</t>
        </is>
      </c>
      <c r="E36" s="4" t="inlineStr">
        <is>
          <t>750 MW monopole HVDC link between Burnie area and Hazelwood area, with converter stations and Hazelwood 500 kV connection.</t>
        </is>
      </c>
      <c r="F36" s="4" t="inlineStr">
        <is>
          <t>Marinus Link delivery</t>
        </is>
      </c>
      <c r="G36" s="4" t="inlineStr">
        <is>
          <t>HUM-AEMO-2026-ISP-A5</t>
        </is>
      </c>
      <c r="H36" s="4" t="inlineStr">
        <is>
          <t>26-27</t>
        </is>
      </c>
    </row>
    <row r="37">
      <c r="A37" s="4" t="inlineStr">
        <is>
          <t>Project Marinus</t>
        </is>
      </c>
      <c r="B37" s="4" t="inlineStr">
        <is>
          <t>ML-CMP-STAGE1-HVAC</t>
        </is>
      </c>
      <c r="C37" s="4" t="inlineStr">
        <is>
          <t>Stage 1</t>
        </is>
      </c>
      <c r="D37" s="4" t="inlineStr">
        <is>
          <t>HVAC/NWTD</t>
        </is>
      </c>
      <c r="E37" s="4" t="inlineStr">
        <is>
          <t>Heybridge switching; Sheffield-Heybridge-Burnie and Palmerston-Sheffield 220 kV works; existing Sheffield-Burnie line decommissioning.</t>
        </is>
      </c>
      <c r="F37" s="4" t="inlineStr">
        <is>
          <t>TasNetworks delivery; separate funding boundary</t>
        </is>
      </c>
      <c r="G37" s="4" t="inlineStr">
        <is>
          <t>HUM-AEMO-2026-ISP-A5</t>
        </is>
      </c>
      <c r="H37" s="4" t="inlineStr">
        <is>
          <t>26-27</t>
        </is>
      </c>
    </row>
    <row r="38">
      <c r="A38" s="4" t="inlineStr">
        <is>
          <t>Project Marinus</t>
        </is>
      </c>
      <c r="B38" s="4" t="inlineStr">
        <is>
          <t>ML-CMP-STAGE1-ENABLE</t>
        </is>
      </c>
      <c r="C38" s="4" t="inlineStr">
        <is>
          <t>Stage 1</t>
        </is>
      </c>
      <c r="D38" s="4" t="inlineStr">
        <is>
          <t>Enabling</t>
        </is>
      </c>
      <c r="E38" s="4" t="inlineStr">
        <is>
          <t>Stage 1 includes facilitation/enabling works for Stage 2.</t>
        </is>
      </c>
      <c r="F38" s="4" t="inlineStr">
        <is>
          <t>Included in Stage 1 $5,035m source boundary</t>
        </is>
      </c>
      <c r="G38" s="4" t="inlineStr">
        <is>
          <t>ML-TN-2025-RITT</t>
        </is>
      </c>
      <c r="H38" s="4" t="inlineStr">
        <is>
          <t>18</t>
        </is>
      </c>
    </row>
    <row r="39">
      <c r="A39" s="4" t="inlineStr">
        <is>
          <t>Project Marinus</t>
        </is>
      </c>
      <c r="B39" s="4" t="inlineStr">
        <is>
          <t>ML-CMP-STAGE2-HVDC</t>
        </is>
      </c>
      <c r="C39" s="4" t="inlineStr">
        <is>
          <t>Stage 2</t>
        </is>
      </c>
      <c r="D39" s="4" t="inlineStr">
        <is>
          <t>HVDC</t>
        </is>
      </c>
      <c r="E39" s="4" t="inlineStr">
        <is>
          <t>Second 750 MW monopole HVDC link and additional converter stations.</t>
        </is>
      </c>
      <c r="F39" s="4" t="inlineStr">
        <is>
          <t>Marinus Link delivery</t>
        </is>
      </c>
      <c r="G39" s="4" t="inlineStr">
        <is>
          <t>HUM-AEMO-2026-ISP-A5</t>
        </is>
      </c>
      <c r="H39" s="4" t="inlineStr">
        <is>
          <t>58-59</t>
        </is>
      </c>
    </row>
    <row r="40">
      <c r="A40" s="4" t="inlineStr">
        <is>
          <t>Project Marinus</t>
        </is>
      </c>
      <c r="B40" s="4" t="inlineStr">
        <is>
          <t>ML-CMP-STAGE2-HVAC</t>
        </is>
      </c>
      <c r="C40" s="4" t="inlineStr">
        <is>
          <t>Stage 2</t>
        </is>
      </c>
      <c r="D40" s="4" t="inlineStr">
        <is>
          <t>HVAC/NWTD</t>
        </is>
      </c>
      <c r="E40" s="4" t="inlineStr">
        <is>
          <t>Staverton switching; Staverton-Hampshire; Sheffield-Mersey Forth cut-ins and circuit increases.</t>
        </is>
      </c>
      <c r="F40" s="4" t="inlineStr">
        <is>
          <t>TasNetworks delivery; separate funding boundary</t>
        </is>
      </c>
      <c r="G40" s="4" t="inlineStr">
        <is>
          <t>HUM-AEMO-2026-ISP-A5</t>
        </is>
      </c>
      <c r="H40" s="4" t="inlineStr">
        <is>
          <t>58-59</t>
        </is>
      </c>
    </row>
    <row r="41">
      <c r="A41" s="4" t="inlineStr">
        <is>
          <t>Project Marinus</t>
        </is>
      </c>
      <c r="B41" s="4" t="inlineStr">
        <is>
          <t>ML-CMP-REZ-TRANSFER</t>
        </is>
      </c>
      <c r="C41" s="4" t="inlineStr">
        <is>
          <t>Related</t>
        </is>
      </c>
      <c r="D41" s="4" t="inlineStr">
        <is>
          <t>Transferred scope</t>
        </is>
      </c>
      <c r="E41" s="4" t="inlineStr">
        <is>
          <t>Burnie-Hampshire scope removed from Stage 2 option 2A because it is built under the separate Tasmania REZ Expansion.</t>
        </is>
      </c>
      <c r="F41" s="4" t="inlineStr">
        <is>
          <t>Not current Stage 2 option 2A scope</t>
        </is>
      </c>
      <c r="G41" s="4" t="inlineStr">
        <is>
          <t>HUM-AEMO-2026-ISP-A5</t>
        </is>
      </c>
      <c r="H41" s="4" t="inlineStr">
        <is>
          <t>59</t>
        </is>
      </c>
    </row>
    <row r="42">
      <c r="A42" s="4" t="inlineStr">
        <is>
          <t>Project Marinus</t>
        </is>
      </c>
      <c r="B42" s="4" t="inlineStr">
        <is>
          <t>ML-CMP-CABLE-ROUTE</t>
        </is>
      </c>
      <c r="C42" s="4" t="inlineStr">
        <is>
          <t>Whole project</t>
        </is>
      </c>
      <c r="D42" s="4" t="inlineStr">
        <is>
          <t>Route</t>
        </is>
      </c>
      <c r="E42" s="4" t="inlineStr">
        <is>
          <t>Approximately 255 km of undersea HVDC cable and approximately 90 km of underground HVDC cable in Victoria, plus converter stations in Tasmania and Victoria.</t>
        </is>
      </c>
      <c r="F42" s="4" t="inlineStr">
        <is>
          <t>Marinus Link cable route only; excludes NWTD HVAC works</t>
        </is>
      </c>
      <c r="G42" s="4" t="inlineStr">
        <is>
          <t>ML-TN-2025-RITT</t>
        </is>
      </c>
      <c r="H42" s="4" t="inlineStr">
        <is>
          <t>6</t>
        </is>
      </c>
    </row>
    <row r="43">
      <c r="A43" s="4" t="inlineStr">
        <is>
          <t>New England REZ Network Infrastructure Project</t>
        </is>
      </c>
      <c r="B43" s="4" t="inlineStr">
        <is>
          <t>NER-CMP-500KV-CENTRALB-BAYSWATER-SOUTH</t>
        </is>
      </c>
      <c r="C43" s="4" t="inlineStr">
        <is>
          <t>CNSW-NNSW Option 1 (anticipated)</t>
        </is>
      </c>
      <c r="D43" s="4" t="inlineStr">
        <is>
          <t>Transmission line</t>
        </is>
      </c>
      <c r="E43" s="4" t="inlineStr">
        <is>
          <t>New 500 kV double-circuit steel tower line between Central B and Bayswater South Substation with Quad Orange conductor, later re-terminated from Bayswater South to Bayswater.</t>
        </is>
      </c>
      <c r="F43" s="4" t="inlineStr">
        <is>
          <t>Within the single-part NIP delivery scope; final scope subject to procurement outcome</t>
        </is>
      </c>
      <c r="G43" s="4" t="inlineStr">
        <is>
          <t>HUM-AEMO-2026-ISP-A5</t>
        </is>
      </c>
      <c r="H43" s="4" t="inlineStr">
        <is>
          <t>31-32</t>
        </is>
      </c>
    </row>
    <row r="44">
      <c r="A44" s="4" t="inlineStr">
        <is>
          <t>New England REZ Network Infrastructure Project</t>
        </is>
      </c>
      <c r="B44" s="4" t="inlineStr">
        <is>
          <t>NER-CMP-500KV-CENTRALA-BAYSWATER-SOUTH</t>
        </is>
      </c>
      <c r="C44" s="4" t="inlineStr">
        <is>
          <t>CNSW-NNSW Option 1 (anticipated)</t>
        </is>
      </c>
      <c r="D44" s="4" t="inlineStr">
        <is>
          <t>Transmission line</t>
        </is>
      </c>
      <c r="E44" s="4" t="inlineStr">
        <is>
          <t>New 500 kV double-circuit steel tower line between Central A and Bayswater South Substation with Quad Orange conductor.</t>
        </is>
      </c>
      <c r="F44" s="4" t="inlineStr">
        <is>
          <t>Within the single-part NIP delivery scope</t>
        </is>
      </c>
      <c r="G44" s="4" t="inlineStr">
        <is>
          <t>HUM-AEMO-2026-ISP-A5</t>
        </is>
      </c>
      <c r="H44" s="4" t="inlineStr">
        <is>
          <t>32</t>
        </is>
      </c>
    </row>
    <row r="45">
      <c r="A45" s="4" t="inlineStr">
        <is>
          <t>New England REZ Network Infrastructure Project</t>
        </is>
      </c>
      <c r="B45" s="4" t="inlineStr">
        <is>
          <t>NER-CMP-500KV-CENTRALA-CENTRALB</t>
        </is>
      </c>
      <c r="C45" s="4" t="inlineStr">
        <is>
          <t>CNSW-NNSW Option 1 (anticipated)</t>
        </is>
      </c>
      <c r="D45" s="4" t="inlineStr">
        <is>
          <t>Transmission line</t>
        </is>
      </c>
      <c r="E45" s="4" t="inlineStr">
        <is>
          <t>New 500 kV double-circuit steel tower line between Central A and Central B Hub with Quad Orange conductor.</t>
        </is>
      </c>
      <c r="F45" s="4" t="inlineStr">
        <is>
          <t>Within the single-part NIP delivery scope</t>
        </is>
      </c>
      <c r="G45" s="4" t="inlineStr">
        <is>
          <t>HUM-AEMO-2026-ISP-A5</t>
        </is>
      </c>
      <c r="H45" s="4" t="inlineStr">
        <is>
          <t>32</t>
        </is>
      </c>
    </row>
    <row r="46">
      <c r="A46" s="4" t="inlineStr">
        <is>
          <t>New England REZ Network Infrastructure Project</t>
        </is>
      </c>
      <c r="B46" s="4" t="inlineStr">
        <is>
          <t>NER-CMP-500KV-BUILT-330KV-OPERATED-NORTH</t>
        </is>
      </c>
      <c r="C46" s="4" t="inlineStr">
        <is>
          <t>CNSW-NNSW Option 1 (anticipated)</t>
        </is>
      </c>
      <c r="D46" s="4" t="inlineStr">
        <is>
          <t>Transmission line</t>
        </is>
      </c>
      <c r="E46" s="4" t="inlineStr">
        <is>
          <t>New 500 kV built, 330 kV operated double-circuit steel tower line between Central A and North with Quad Orange conductor.</t>
        </is>
      </c>
      <c r="F46" s="4" t="inlineStr">
        <is>
          <t>Built to 500 kV, initially operated at 330 kV; any later 500 kV operation is not costed in this scope</t>
        </is>
      </c>
      <c r="G46" s="4" t="inlineStr">
        <is>
          <t>HUM-AEMO-2026-ISP-A5</t>
        </is>
      </c>
      <c r="H46" s="4" t="inlineStr">
        <is>
          <t>31</t>
        </is>
      </c>
    </row>
    <row r="47">
      <c r="A47" s="4" t="inlineStr">
        <is>
          <t>New England REZ Network Infrastructure Project</t>
        </is>
      </c>
      <c r="B47" s="4" t="inlineStr">
        <is>
          <t>NER-CMP-330KV-CENTRALB-EAST</t>
        </is>
      </c>
      <c r="C47" s="4" t="inlineStr">
        <is>
          <t>CNSW-NNSW Option 1 (anticipated)</t>
        </is>
      </c>
      <c r="D47" s="4" t="inlineStr">
        <is>
          <t>Transmission line</t>
        </is>
      </c>
      <c r="E47" s="4" t="inlineStr">
        <is>
          <t>New 330 kV double-circuit steel tower line between Central B and East with Twin Olive conductor, plus an additional 330 kV double-circuit line on the same pair.</t>
        </is>
      </c>
      <c r="F47" s="4" t="inlineStr">
        <is>
          <t>Two separately listed 330 kV double-circuit lines within the NIP delivery scope</t>
        </is>
      </c>
      <c r="G47" s="4" t="inlineStr">
        <is>
          <t>HUM-AEMO-2026-ISP-A5</t>
        </is>
      </c>
      <c r="H47" s="4" t="inlineStr">
        <is>
          <t>31-32</t>
        </is>
      </c>
    </row>
    <row r="48">
      <c r="A48" s="4" t="inlineStr">
        <is>
          <t>New England REZ Network Infrastructure Project</t>
        </is>
      </c>
      <c r="B48" s="4" t="inlineStr">
        <is>
          <t>NER-CMP-HUB-CENTRALB</t>
        </is>
      </c>
      <c r="C48" s="4" t="inlineStr">
        <is>
          <t>CNSW-NNSW Option 1 (anticipated)</t>
        </is>
      </c>
      <c r="D48" s="4" t="inlineStr">
        <is>
          <t>Substation</t>
        </is>
      </c>
      <c r="E48" s="4" t="inlineStr">
        <is>
          <t>New Central B Hub 500/330 kV substation with 4 x 500/330/33 kV 1,500 MVA transformers, cut into the existing 330 kV lines between Tamworth and Armidale, plus 4 x 340 MVA phase shifting transformers.</t>
        </is>
      </c>
      <c r="F48" s="4" t="inlineStr">
        <is>
          <t>Within the NIP delivery scope</t>
        </is>
      </c>
      <c r="G48" s="4" t="inlineStr">
        <is>
          <t>HUM-AEMO-2026-ISP-A5</t>
        </is>
      </c>
      <c r="H48" s="4" t="inlineStr">
        <is>
          <t>31</t>
        </is>
      </c>
    </row>
    <row r="49">
      <c r="A49" s="4" t="inlineStr">
        <is>
          <t>New England REZ Network Infrastructure Project</t>
        </is>
      </c>
      <c r="B49" s="4" t="inlineStr">
        <is>
          <t>NER-CMP-HUB-CENTRALA</t>
        </is>
      </c>
      <c r="C49" s="4" t="inlineStr">
        <is>
          <t>CNSW-NNSW Option 1 (anticipated)</t>
        </is>
      </c>
      <c r="D49" s="4" t="inlineStr">
        <is>
          <t>Substation</t>
        </is>
      </c>
      <c r="E49" s="4" t="inlineStr">
        <is>
          <t>New Central A Hub 500/330 kV substation with 3 x 500/330/33 kV 1,500 MVA transformers.</t>
        </is>
      </c>
      <c r="F49" s="4" t="inlineStr">
        <is>
          <t>Within the NIP delivery scope</t>
        </is>
      </c>
      <c r="G49" s="4" t="inlineStr">
        <is>
          <t>HUM-AEMO-2026-ISP-A5</t>
        </is>
      </c>
      <c r="H49" s="4" t="inlineStr">
        <is>
          <t>31</t>
        </is>
      </c>
    </row>
    <row r="50">
      <c r="A50" s="4" t="inlineStr">
        <is>
          <t>New England REZ Network Infrastructure Project</t>
        </is>
      </c>
      <c r="B50" s="4" t="inlineStr">
        <is>
          <t>NER-CMP-HUB-NORTH-EAST</t>
        </is>
      </c>
      <c r="C50" s="4" t="inlineStr">
        <is>
          <t>CNSW-NNSW Option 1 (anticipated)</t>
        </is>
      </c>
      <c r="D50" s="4" t="inlineStr">
        <is>
          <t>Substation</t>
        </is>
      </c>
      <c r="E50" s="4" t="inlineStr">
        <is>
          <t>New 330 kV North and East Hubs.</t>
        </is>
      </c>
      <c r="F50" s="4" t="inlineStr">
        <is>
          <t>Within the NIP delivery scope; no transformer ratings published for these hubs</t>
        </is>
      </c>
      <c r="G50" s="4" t="inlineStr">
        <is>
          <t>HUM-AEMO-2026-ISP-A5</t>
        </is>
      </c>
      <c r="H50" s="4" t="inlineStr">
        <is>
          <t>31</t>
        </is>
      </c>
    </row>
    <row r="51">
      <c r="A51" s="4" t="inlineStr">
        <is>
          <t>New England REZ Network Infrastructure Project</t>
        </is>
      </c>
      <c r="B51" s="4" t="inlineStr">
        <is>
          <t>NER-CMP-HUB-CENTRAL-SOUTH</t>
        </is>
      </c>
      <c r="C51" s="4" t="inlineStr">
        <is>
          <t>CNSW-NNSW Option 1 (anticipated)</t>
        </is>
      </c>
      <c r="D51" s="4" t="inlineStr">
        <is>
          <t>Substation</t>
        </is>
      </c>
      <c r="E51" s="4" t="inlineStr">
        <is>
          <t>New 500 kV Central South Hub and connection into the Central B to Bayswater South 500 kV double-circuit line.</t>
        </is>
      </c>
      <c r="F51" s="4" t="inlineStr">
        <is>
          <t>Within the NIP delivery scope</t>
        </is>
      </c>
      <c r="G51" s="4" t="inlineStr">
        <is>
          <t>HUM-AEMO-2026-ISP-A5</t>
        </is>
      </c>
      <c r="H51" s="4" t="inlineStr">
        <is>
          <t>31</t>
        </is>
      </c>
    </row>
    <row r="52">
      <c r="A52" s="4" t="inlineStr">
        <is>
          <t>New England REZ Network Infrastructure Project</t>
        </is>
      </c>
      <c r="B52" s="4" t="inlineStr">
        <is>
          <t>NER-CMP-REACTORS</t>
        </is>
      </c>
      <c r="C52" s="4" t="inlineStr">
        <is>
          <t>CNSW-NNSW Option 1 (anticipated)</t>
        </is>
      </c>
      <c r="D52" s="4" t="inlineStr">
        <is>
          <t>Reactive plant</t>
        </is>
      </c>
      <c r="E52" s="4" t="inlineStr">
        <is>
          <t>4 x 500 kV 150 MVAr line shunt reactors (in total) for the 500 kV line at Central B and Bayswater South, and a further 4 x 500 kV 150 MVAr line shunt reactors (in total) for the 500 kV line at Central A and Bayswater.</t>
        </is>
      </c>
      <c r="F52" s="4" t="inlineStr">
        <is>
          <t>Shunt reactors, not synchronous condensers; no synchronous condensers appear anywhere in this scope list</t>
        </is>
      </c>
      <c r="G52" s="4" t="inlineStr">
        <is>
          <t>HUM-AEMO-2026-ISP-A5</t>
        </is>
      </c>
      <c r="H52" s="4" t="inlineStr">
        <is>
          <t>31-32</t>
        </is>
      </c>
    </row>
    <row r="53">
      <c r="A53" s="4" t="inlineStr">
        <is>
          <t>New England REZ Network Infrastructure Project</t>
        </is>
      </c>
      <c r="B53" s="4" t="inlineStr">
        <is>
          <t>NER-CMP-2024-FP1</t>
        </is>
      </c>
      <c r="C53" s="4" t="inlineStr">
        <is>
          <t>2024 ISP two-part scope (superseded)</t>
        </is>
      </c>
      <c r="D53" s="4" t="inlineStr">
        <is>
          <t>Historical option</t>
        </is>
      </c>
      <c r="E53" s="4" t="inlineStr">
        <is>
          <t>Flow path CNSW-NNSW Option 1: new Central (Hub 5) 500/330 kV substation with 3 x 1,500 MVA transformers, 500 kV line to Bayswater, shunt reactors and 4 x 330 kV 340 MVA phase shifting transformers.</t>
        </is>
      </c>
      <c r="F53" s="4" t="inlineStr">
        <is>
          <t>Superseded representation; retained as a historical record, not current scope</t>
        </is>
      </c>
      <c r="G53" s="4" t="inlineStr">
        <is>
          <t>HUM-AEMO-2024-ISP-A5</t>
        </is>
      </c>
      <c r="H53" s="4" t="inlineStr">
        <is>
          <t>30</t>
        </is>
      </c>
    </row>
    <row r="54">
      <c r="A54" s="4" t="inlineStr">
        <is>
          <t>New England REZ Network Infrastructure Project</t>
        </is>
      </c>
      <c r="B54" s="4" t="inlineStr">
        <is>
          <t>NER-CMP-2024-N2OPT1</t>
        </is>
      </c>
      <c r="C54" s="4" t="inlineStr">
        <is>
          <t>2024 ISP two-part scope (superseded)</t>
        </is>
      </c>
      <c r="D54" s="4" t="inlineStr">
        <is>
          <t>Historical option</t>
        </is>
      </c>
      <c r="E54" s="4" t="inlineStr">
        <is>
          <t>REZ N2 Option 1: new 330 kV Northern (Hub 10), Central South (Hub 1) and East (Hub 4) switching stations and connecting lines from Central (Hub 5).</t>
        </is>
      </c>
      <c r="F54" s="4" t="inlineStr">
        <is>
          <t>Superseded representation</t>
        </is>
      </c>
      <c r="G54" s="4" t="inlineStr">
        <is>
          <t>HUM-AEMO-2024-ISP-A5</t>
        </is>
      </c>
      <c r="H54" s="4" t="inlineStr">
        <is>
          <t>30</t>
        </is>
      </c>
    </row>
    <row r="55">
      <c r="A55" s="4" t="inlineStr">
        <is>
          <t>New England REZ Network Infrastructure Project</t>
        </is>
      </c>
      <c r="B55" s="4" t="inlineStr">
        <is>
          <t>NER-CMP-2024-FP2</t>
        </is>
      </c>
      <c r="C55" s="4" t="inlineStr">
        <is>
          <t>2024 ISP two-part scope (superseded)</t>
        </is>
      </c>
      <c r="D55" s="4" t="inlineStr">
        <is>
          <t>Historical option</t>
        </is>
      </c>
      <c r="E55" s="4" t="inlineStr">
        <is>
          <t>Flow path CNSW-NNSW Option 2: expand Northern (Hub 10) and Central South (Hub 1) to 500/330 kV substations with 3 x 1,500 MVA transformers each, new 500 kV line Central South to Bayswater, and 500 kV operation of previously 330 kV operated lines. Prerequisite: CNSW-NNSW Option 1.</t>
        </is>
      </c>
      <c r="F55" s="4" t="inlineStr">
        <is>
          <t>Superseded representation; conditional on Option 1</t>
        </is>
      </c>
      <c r="G55" s="4" t="inlineStr">
        <is>
          <t>HUM-AEMO-2024-ISP-A5</t>
        </is>
      </c>
      <c r="H55" s="4" t="inlineStr">
        <is>
          <t>30-31</t>
        </is>
      </c>
    </row>
    <row r="56">
      <c r="A56" s="4" t="inlineStr">
        <is>
          <t>Project EnergyConnect</t>
        </is>
      </c>
      <c r="B56" s="4" t="inlineStr">
        <is>
          <t>PEC-CMP-S1-LINES</t>
        </is>
      </c>
      <c r="C56" s="4" t="inlineStr">
        <is>
          <t>Stage 1</t>
        </is>
      </c>
      <c r="D56" s="4" t="inlineStr">
        <is>
          <t>Transmission lines</t>
        </is>
      </c>
      <c r="E56" s="4" t="inlineStr">
        <is>
          <t>New Robertstown to Bundey 275 kV double-circuit line and new Bundey to Buronga 330 kV double-circuit line strung one circuit initially.</t>
        </is>
      </c>
      <c r="F56" s="4" t="inlineStr">
        <is>
          <t>ElectraNet and Transgrid supplied scope; SA 275 kV section is lower voltage than the 330 kV interconnector rating</t>
        </is>
      </c>
      <c r="G56" s="4" t="inlineStr">
        <is>
          <t>HUM-AEMO-2024-ISP-A5</t>
        </is>
      </c>
      <c r="H56" s="4" t="inlineStr">
        <is>
          <t>17</t>
        </is>
      </c>
    </row>
    <row r="57">
      <c r="A57" s="4" t="inlineStr">
        <is>
          <t>Project EnergyConnect</t>
        </is>
      </c>
      <c r="B57" s="4" t="inlineStr">
        <is>
          <t>PEC-CMP-S1-SUBSTATIONS</t>
        </is>
      </c>
      <c r="C57" s="4" t="inlineStr">
        <is>
          <t>Stage 1</t>
        </is>
      </c>
      <c r="D57" s="4" t="inlineStr">
        <is>
          <t>Substations and transformers</t>
        </is>
      </c>
      <c r="E57" s="4" t="inlineStr">
        <is>
          <t>New 330/275 kV substation and 3 x 400 MVA 330/275 kV transformers at Bundey; new 330/220 kV substation with 1 x 200 MVA 330/220 kV transformer and 1 x 200 MVA 330 kV phase shifting transformer at Buronga.</t>
        </is>
      </c>
      <c r="F57" s="4" t="inlineStr">
        <is>
          <t>Stage 1 delivery scope as listed by AEMO</t>
        </is>
      </c>
      <c r="G57" s="4" t="inlineStr">
        <is>
          <t>HUM-AEMO-2024-ISP-A5</t>
        </is>
      </c>
      <c r="H57" s="4" t="inlineStr">
        <is>
          <t>17</t>
        </is>
      </c>
    </row>
    <row r="58">
      <c r="A58" s="4" t="inlineStr">
        <is>
          <t>Project EnergyConnect</t>
        </is>
      </c>
      <c r="B58" s="4" t="inlineStr">
        <is>
          <t>PEC-CMP-S1-REACTIVE</t>
        </is>
      </c>
      <c r="C58" s="4" t="inlineStr">
        <is>
          <t>Stage 1</t>
        </is>
      </c>
      <c r="D58" s="4" t="inlineStr">
        <is>
          <t>Reactive plant and protection</t>
        </is>
      </c>
      <c r="E58" s="4" t="inlineStr">
        <is>
          <t>Static and dynamic reactive plant at Bundey and Buronga; inter-trip protection scheme to trip the interconnector if South Australia separates from Victoria via Heywood.</t>
        </is>
      </c>
      <c r="F58" s="4" t="inlineStr">
        <is>
          <t>Explicitly inside the AEMO scope list; not separately costed</t>
        </is>
      </c>
      <c r="G58" s="4" t="inlineStr">
        <is>
          <t>HUM-AEMO-2024-ISP-A5</t>
        </is>
      </c>
      <c r="H58" s="4" t="inlineStr">
        <is>
          <t>17</t>
        </is>
      </c>
    </row>
    <row r="59">
      <c r="A59" s="4" t="inlineStr">
        <is>
          <t>Project EnergyConnect</t>
        </is>
      </c>
      <c r="B59" s="4" t="inlineStr">
        <is>
          <t>PEC-CMP-S2-LINES</t>
        </is>
      </c>
      <c r="C59" s="4" t="inlineStr">
        <is>
          <t>Stage 2</t>
        </is>
      </c>
      <c r="D59" s="4" t="inlineStr">
        <is>
          <t>Transmission lines</t>
        </is>
      </c>
      <c r="E59" s="4" t="inlineStr">
        <is>
          <t>Second 330 kV circuit closed on Bundey-Buronga; new 330 kV double-circuit Dinawan to Buronga; new 500 kV double-circuit Dinawan to Wagga Wagga operating at 330 kV, with 50-60 MVAr line reactors.</t>
        </is>
      </c>
      <c r="F59" s="4" t="inlineStr">
        <is>
          <t>Stage 2 delivery scope as listed by AEMO 2026</t>
        </is>
      </c>
      <c r="G59" s="4" t="inlineStr">
        <is>
          <t>HUM-AEMO-2026-ISP-A5</t>
        </is>
      </c>
      <c r="H59" s="4" t="inlineStr">
        <is>
          <t>16</t>
        </is>
      </c>
    </row>
    <row r="60">
      <c r="A60" s="4" t="inlineStr">
        <is>
          <t>Project EnergyConnect</t>
        </is>
      </c>
      <c r="B60" s="4" t="inlineStr">
        <is>
          <t>PEC-CMP-S2-SWITCHING</t>
        </is>
      </c>
      <c r="C60" s="4" t="inlineStr">
        <is>
          <t>Stage 2</t>
        </is>
      </c>
      <c r="D60" s="4" t="inlineStr">
        <is>
          <t>Switching station</t>
        </is>
      </c>
      <c r="E60" s="4" t="inlineStr">
        <is>
          <t>New 330 kV switching station at Dinawan (Transgrid describes a new 4.5ha substation near Bundure).</t>
        </is>
      </c>
      <c r="F60" s="4" t="inlineStr">
        <is>
          <t>Stage 2 scope; not described as a 'hub' by any source</t>
        </is>
      </c>
      <c r="G60" s="4" t="inlineStr">
        <is>
          <t>HUM-AEMO-2026-ISP-A5</t>
        </is>
      </c>
      <c r="H60" s="4" t="inlineStr">
        <is>
          <t>16</t>
        </is>
      </c>
    </row>
    <row r="61">
      <c r="A61" s="4" t="inlineStr">
        <is>
          <t>Project EnergyConnect</t>
        </is>
      </c>
      <c r="B61" s="4" t="inlineStr">
        <is>
          <t>PEC-CMP-S2-TRANSFORMERS</t>
        </is>
      </c>
      <c r="C61" s="4" t="inlineStr">
        <is>
          <t>Stage 2</t>
        </is>
      </c>
      <c r="D61" s="4" t="inlineStr">
        <is>
          <t>Transformers</t>
        </is>
      </c>
      <c r="E61" s="4" t="inlineStr">
        <is>
          <t>Additional 4 x 200 MVA 330 kV phase shifting transformers and additional 2 x 200 MVA 330/220 kV transformers at Buronga.</t>
        </is>
      </c>
      <c r="F61" s="4" t="inlineStr">
        <is>
          <t>Stage 2 scope at Buronga only</t>
        </is>
      </c>
      <c r="G61" s="4" t="inlineStr">
        <is>
          <t>HUM-AEMO-2026-ISP-A5</t>
        </is>
      </c>
      <c r="H61" s="4" t="inlineStr">
        <is>
          <t>16</t>
        </is>
      </c>
    </row>
    <row r="62">
      <c r="A62" s="4" t="inlineStr">
        <is>
          <t>Project EnergyConnect</t>
        </is>
      </c>
      <c r="B62" s="4" t="inlineStr">
        <is>
          <t>PEC-CMP-S2-SYNCONS</t>
        </is>
      </c>
      <c r="C62" s="4" t="inlineStr">
        <is>
          <t>Stage 2</t>
        </is>
      </c>
      <c r="D62" s="4" t="inlineStr">
        <is>
          <t>Synchronous condensers and capacitors</t>
        </is>
      </c>
      <c r="E62" s="4" t="inlineStr">
        <is>
          <t>An additional 1 x 100 MVA 330 kV connected synchronous condenser at Buronga; new 2 x 100 MVA 330 kV connected synchronous condensers at Dinawan; new 2 x 52 MVAr 330 kV capacitor banks at Dinawan.</t>
        </is>
      </c>
      <c r="F62" s="4" t="inlineStr">
        <is>
          <t>Stage 2 scope; unit ratings only, no aggregate stated</t>
        </is>
      </c>
      <c r="G62" s="4" t="inlineStr">
        <is>
          <t>HUM-AEMO-2026-ISP-A5</t>
        </is>
      </c>
      <c r="H62" s="4" t="inlineStr">
        <is>
          <t>17</t>
        </is>
      </c>
    </row>
    <row r="63">
      <c r="A63" s="4" t="inlineStr">
        <is>
          <t>Project EnergyConnect</t>
        </is>
      </c>
      <c r="B63" s="4" t="inlineStr">
        <is>
          <t>PEC-CMP-S2-PROTECTION</t>
        </is>
      </c>
      <c r="C63" s="4" t="inlineStr">
        <is>
          <t>Stage 2</t>
        </is>
      </c>
      <c r="D63" s="4" t="inlineStr">
        <is>
          <t>Special protection scheme</t>
        </is>
      </c>
      <c r="E63" s="4" t="inlineStr">
        <is>
          <t>Special protection scheme to detect and manage the loss of either of the AC interconnectors connecting to South Australia.</t>
        </is>
      </c>
      <c r="F63" s="4" t="inlineStr">
        <is>
          <t>Stage 2 scope; also listed in the 2024 ISP</t>
        </is>
      </c>
      <c r="G63" s="4" t="inlineStr">
        <is>
          <t>HUM-AEMO-2026-ISP-A5</t>
        </is>
      </c>
      <c r="H63" s="4" t="inlineStr">
        <is>
          <t>17</t>
        </is>
      </c>
    </row>
    <row r="64">
      <c r="A64" s="4" t="inlineStr">
        <is>
          <t>Project EnergyConnect</t>
        </is>
      </c>
      <c r="B64" s="4" t="inlineStr">
        <is>
          <t>PEC-CMP-LOWER-VOLTAGE</t>
        </is>
      </c>
      <c r="C64" s="4" t="inlineStr">
        <is>
          <t>Stage 2</t>
        </is>
      </c>
      <c r="D64" s="4" t="inlineStr">
        <is>
          <t>Lower-voltage works</t>
        </is>
      </c>
      <c r="E64" s="4" t="inlineStr">
        <is>
          <t>New Buronga to Red Cliffs 220 kV double-circuit line; Transgrid records the upgrade of about 22 km of existing 220 kV transmission, replacing lattice structures with 79 monopoles.</t>
        </is>
      </c>
      <c r="F64" s="4" t="inlineStr">
        <is>
          <t>Inside the project scope list; a 220 kV spur into Victoria, not part of the 330 kV trunk</t>
        </is>
      </c>
      <c r="G64" s="4" t="inlineStr">
        <is>
          <t>HUM-AEMO-2024-ISP-A5</t>
        </is>
      </c>
      <c r="H64" s="4" t="inlineStr">
        <is>
          <t>18</t>
        </is>
      </c>
    </row>
    <row r="65">
      <c r="A65" s="4" t="inlineStr">
        <is>
          <t>Project EnergyConnect</t>
        </is>
      </c>
      <c r="B65" s="4" t="inlineStr">
        <is>
          <t>PEC-CMP-CONVERSION</t>
        </is>
      </c>
      <c r="C65" s="4" t="inlineStr">
        <is>
          <t>Stage 2</t>
        </is>
      </c>
      <c r="D65" s="4" t="inlineStr">
        <is>
          <t>Conversion works</t>
        </is>
      </c>
      <c r="E65" s="4" t="inlineStr">
        <is>
          <t>Turning the existing 275 kV line between Para and Robertstown into Tungkillo.</t>
        </is>
      </c>
      <c r="F65" s="4" t="inlineStr">
        <is>
          <t>Existing-asset conversion inside the AEMO scope list; ElectraNet-side works</t>
        </is>
      </c>
      <c r="G65" s="4" t="inlineStr">
        <is>
          <t>HUM-AEMO-2024-ISP-A5</t>
        </is>
      </c>
      <c r="H65" s="4" t="inlineStr">
        <is>
          <t>18</t>
        </is>
      </c>
    </row>
    <row r="66">
      <c r="A66" s="4" t="inlineStr">
        <is>
          <t>Project EnergyConnect</t>
        </is>
      </c>
      <c r="B66" s="4" t="inlineStr">
        <is>
          <t>PEC-CMP-JOINT-DELIVERY</t>
        </is>
      </c>
      <c r="C66" s="4" t="inlineStr">
        <is>
          <t>Whole project</t>
        </is>
      </c>
      <c r="D66" s="4" t="inlineStr">
        <is>
          <t>Delivery boundary</t>
        </is>
      </c>
      <c r="E66" s="4" t="inlineStr">
        <is>
          <t>Jointly constructed and operated by ElectraNet (South Australia) and TransGrid (New South Wales), with a spur line linking to Victoria at Red Cliffs.</t>
        </is>
      </c>
      <c r="F66" s="4" t="inlineStr">
        <is>
          <t>Two owners, two AER proceedings, one physical interconnector</t>
        </is>
      </c>
      <c r="G66" s="4" t="inlineStr">
        <is>
          <t>PEC-AER-2021-ELECTRANET-DECISION</t>
        </is>
      </c>
      <c r="H66" s="4" t="inlineStr">
        <is>
          <t>3</t>
        </is>
      </c>
    </row>
    <row r="67">
      <c r="A67" s="4" t="inlineStr">
        <is>
          <t>Sydney Ring South (Reinforcing Sydney, Newcastle and Wollongong Supply)</t>
        </is>
      </c>
      <c r="B67" s="4" t="inlineStr">
        <is>
          <t>SRS-CMP-PFC</t>
        </is>
      </c>
      <c r="C67" s="4" t="inlineStr">
        <is>
          <t>Power flow control option (CNSW-SNW Option 2d)</t>
        </is>
      </c>
      <c r="D67" s="4" t="inlineStr">
        <is>
          <t>Power flow control</t>
        </is>
      </c>
      <c r="E67" s="4" t="inlineStr">
        <is>
          <t>Power flow control devices installed in the 330 kV network supplying Sydney from the south, improving flow sharing between the northern and southern CNSW-SNW segments.</t>
        </is>
      </c>
      <c r="F67" s="4" t="inlineStr">
        <is>
          <t>Actionable option; prerequisite is CNSW-SNW Option 1 (Hunter Transmission Project), a separate project</t>
        </is>
      </c>
      <c r="G67" s="4" t="inlineStr">
        <is>
          <t>HUM-AEMO-2026-ISP-A5</t>
        </is>
      </c>
      <c r="H67" s="4" t="inlineStr">
        <is>
          <t>43</t>
        </is>
      </c>
    </row>
    <row r="68">
      <c r="A68" s="4" t="inlineStr">
        <is>
          <t>Sydney Ring South (Reinforcing Sydney, Newcastle and Wollongong Supply)</t>
        </is>
      </c>
      <c r="B68" s="4" t="inlineStr">
        <is>
          <t>SRS-CMP-SOUTH-CREEK-SWITCH</t>
        </is>
      </c>
      <c r="C68" s="4" t="inlineStr">
        <is>
          <t>500 kV transmission option (CNSW-SNW Option 3)</t>
        </is>
      </c>
      <c r="D68" s="4" t="inlineStr">
        <is>
          <t>Switching station</t>
        </is>
      </c>
      <c r="E68" s="4" t="inlineStr">
        <is>
          <t>New 330 kV South Creek switching station cutting into Sydney West – Bayswater (#32), Sydney West – Regentville (#38) and Bannaby – Sydney West (#39).</t>
        </is>
      </c>
      <c r="F68" s="4" t="inlineStr">
        <is>
          <t>Actionable option scope</t>
        </is>
      </c>
      <c r="G68" s="4" t="inlineStr">
        <is>
          <t>HUM-AEMO-2026-ISP-A5</t>
        </is>
      </c>
      <c r="H68" s="4" t="inlineStr">
        <is>
          <t>44</t>
        </is>
      </c>
    </row>
    <row r="69">
      <c r="A69" s="4" t="inlineStr">
        <is>
          <t>Sydney Ring South (Reinforcing Sydney, Newcastle and Wollongong Supply)</t>
        </is>
      </c>
      <c r="B69" s="4" t="inlineStr">
        <is>
          <t>SRS-CMP-TRUNK-LINE</t>
        </is>
      </c>
      <c r="C69" s="4" t="inlineStr">
        <is>
          <t>500 kV transmission option (CNSW-SNW Option 3)</t>
        </is>
      </c>
      <c r="D69" s="4" t="inlineStr">
        <is>
          <t>Transmission line</t>
        </is>
      </c>
      <c r="E69" s="4" t="inlineStr">
        <is>
          <t>Single double-circuit 330 kV transmission line built to a 500 kV design between Bannaby substation and the new South Creek switching station, on a new 70 m wide greenfield easement.</t>
        </is>
      </c>
      <c r="F69" s="4" t="inlineStr">
        <is>
          <t>Actionable option scope; no route length is stated</t>
        </is>
      </c>
      <c r="G69" s="4" t="inlineStr">
        <is>
          <t>HUM-AEMO-2026-ISP-A5</t>
        </is>
      </c>
      <c r="H69" s="4" t="inlineStr">
        <is>
          <t>44</t>
        </is>
      </c>
    </row>
    <row r="70">
      <c r="A70" s="4" t="inlineStr">
        <is>
          <t>Sydney Ring South (Reinforcing Sydney, Newcastle and Wollongong Supply)</t>
        </is>
      </c>
      <c r="B70" s="4" t="inlineStr">
        <is>
          <t>SRS-CMP-REBUILD</t>
        </is>
      </c>
      <c r="C70" s="4" t="inlineStr">
        <is>
          <t>500 kV transmission option (CNSW-SNW Option 3)</t>
        </is>
      </c>
      <c r="D70" s="4" t="inlineStr">
        <is>
          <t>Rebuild</t>
        </is>
      </c>
      <c r="E70" s="4" t="inlineStr">
        <is>
          <t>Rebuild 7 km of existing single-circuit 330 kV between South Creek and Sydney West as double-circuit, strung with HTLS conductor.</t>
        </is>
      </c>
      <c r="F70" s="4" t="inlineStr">
        <is>
          <t>Works on existing lines; not new trunk route</t>
        </is>
      </c>
      <c r="G70" s="4" t="inlineStr">
        <is>
          <t>HUM-AEMO-2026-ISP-A5</t>
        </is>
      </c>
      <c r="H70" s="4" t="inlineStr">
        <is>
          <t>44</t>
        </is>
      </c>
    </row>
    <row r="71">
      <c r="A71" s="4" t="inlineStr">
        <is>
          <t>Sydney Ring South (Reinforcing Sydney, Newcastle and Wollongong Supply)</t>
        </is>
      </c>
      <c r="B71" s="4" t="inlineStr">
        <is>
          <t>SRS-CMP-RECONDUCTOR</t>
        </is>
      </c>
      <c r="C71" s="4" t="inlineStr">
        <is>
          <t>500 kV transmission option (CNSW-SNW Option 3)</t>
        </is>
      </c>
      <c r="D71" s="4" t="inlineStr">
        <is>
          <t>Reconductoring</t>
        </is>
      </c>
      <c r="E71" s="4" t="inlineStr">
        <is>
          <t>Re-conductor approx. 7 km of existing double-circuit 330 kV lines 32 and 38 with HTLS conductor between South Creek and Sydney West.</t>
        </is>
      </c>
      <c r="F71" s="4" t="inlineStr">
        <is>
          <t>Works on existing lines; not new trunk route</t>
        </is>
      </c>
      <c r="G71" s="4" t="inlineStr">
        <is>
          <t>HUM-AEMO-2026-ISP-A5</t>
        </is>
      </c>
      <c r="H71" s="4" t="inlineStr">
        <is>
          <t>44</t>
        </is>
      </c>
    </row>
    <row r="72">
      <c r="A72" s="4" t="inlineStr">
        <is>
          <t>Sydney Ring South (Reinforcing Sydney, Newcastle and Wollongong Supply)</t>
        </is>
      </c>
      <c r="B72" s="4" t="inlineStr">
        <is>
          <t>SRS-CMP-BAYS</t>
        </is>
      </c>
      <c r="C72" s="4" t="inlineStr">
        <is>
          <t>500 kV transmission option (CNSW-SNW Option 3)</t>
        </is>
      </c>
      <c r="D72" s="4" t="inlineStr">
        <is>
          <t>Switch bays and terminations</t>
        </is>
      </c>
      <c r="E72" s="4" t="inlineStr">
        <is>
          <t>Two new 330 kV line switch bays at Bannaby, one new 330 kV line switch bay at Sydney West, two new 500 kV line switch bays at Bannaby, and re-termination of 500 kV designed lines at Bannaby and South Creek.</t>
        </is>
      </c>
      <c r="F72" s="4" t="inlineStr">
        <is>
          <t>Actionable option scope</t>
        </is>
      </c>
      <c r="G72" s="4" t="inlineStr">
        <is>
          <t>HUM-AEMO-2026-ISP-A5</t>
        </is>
      </c>
      <c r="H72" s="4" t="inlineStr">
        <is>
          <t>44</t>
        </is>
      </c>
    </row>
    <row r="73">
      <c r="A73" s="4" t="inlineStr">
        <is>
          <t>Sydney Ring South (Reinforcing Sydney, Newcastle and Wollongong Supply)</t>
        </is>
      </c>
      <c r="B73" s="4" t="inlineStr">
        <is>
          <t>SRS-CMP-SOUTH-CREEK-500</t>
        </is>
      </c>
      <c r="C73" s="4" t="inlineStr">
        <is>
          <t>500 kV transmission option (CNSW-SNW Option 3)</t>
        </is>
      </c>
      <c r="D73" s="4" t="inlineStr">
        <is>
          <t>Substation and transformers</t>
        </is>
      </c>
      <c r="E73" s="4" t="inlineStr">
        <is>
          <t>Upgrade South Creek to a 330/500 kV substation with separate 500 kV and 330 kV yards linked by underground cable, cutting into 500 kV Eraring – Kemps Creek (#5A1, #5A2), with three 1,500 MVA 500/330 kV transformers.</t>
        </is>
      </c>
      <c r="F73" s="4" t="inlineStr">
        <is>
          <t>Actionable option scope</t>
        </is>
      </c>
      <c r="G73" s="4" t="inlineStr">
        <is>
          <t>HUM-AEMO-2026-ISP-A5</t>
        </is>
      </c>
      <c r="H73" s="4" t="inlineStr">
        <is>
          <t>44</t>
        </is>
      </c>
    </row>
    <row r="74">
      <c r="A74" s="4" t="inlineStr">
        <is>
          <t>Sydney Ring South (Reinforcing Sydney, Newcastle and Wollongong Supply)</t>
        </is>
      </c>
      <c r="B74" s="4" t="inlineStr">
        <is>
          <t>SRS-CMP-REACTORS</t>
        </is>
      </c>
      <c r="C74" s="4" t="inlineStr">
        <is>
          <t>500 kV transmission option (CNSW-SNW Option 3)</t>
        </is>
      </c>
      <c r="D74" s="4" t="inlineStr">
        <is>
          <t>Reactive plant</t>
        </is>
      </c>
      <c r="E74" s="4" t="inlineStr">
        <is>
          <t>Four 120 MVAr line shunt reactors on the 500 kV lines between Bannaby and South Creek. No synchronous condensers appear in the archived scope.</t>
        </is>
      </c>
      <c r="F74" s="4" t="inlineStr">
        <is>
          <t>Actionable option scope</t>
        </is>
      </c>
      <c r="G74" s="4" t="inlineStr">
        <is>
          <t>HUM-AEMO-2026-ISP-A5</t>
        </is>
      </c>
      <c r="H74" s="4" t="inlineStr">
        <is>
          <t>44</t>
        </is>
      </c>
    </row>
    <row r="75">
      <c r="A75" s="4" t="inlineStr">
        <is>
          <t>Sydney Ring South (Reinforcing Sydney, Newcastle and Wollongong Supply)</t>
        </is>
      </c>
      <c r="B75" s="4" t="inlineStr">
        <is>
          <t>SRS-CMP-HTP-PREREQ</t>
        </is>
      </c>
      <c r="C75" s="4" t="inlineStr">
        <is>
          <t>Interface</t>
        </is>
      </c>
      <c r="D75" s="4" t="inlineStr">
        <is>
          <t>Prerequisite project</t>
        </is>
      </c>
      <c r="E75" s="4" t="inlineStr">
        <is>
          <t>CNSW-SNW Option 1 (Hunter Transmission Project / Sydney Ring North) is stated as the prerequisite for the power flow control option and is a separate project progressed under the NSW Electricity Infrastructure Investment Act 2020.</t>
        </is>
      </c>
      <c r="F75" s="4" t="inlineStr">
        <is>
          <t>Not Sydney Ring South scope; do not attribute HTP cost, length or capacity to this row</t>
        </is>
      </c>
      <c r="G75" s="4" t="inlineStr">
        <is>
          <t>HUM-AEMO-2026-ISP-A5</t>
        </is>
      </c>
      <c r="H75" s="4" t="inlineStr">
        <is>
          <t>43</t>
        </is>
      </c>
    </row>
    <row r="76">
      <c r="A76" s="4" t="inlineStr">
        <is>
          <t>VNI West (South West NSW REZ component)</t>
        </is>
      </c>
      <c r="B76" s="4" t="inlineStr">
        <is>
          <t>VNN-CMP-DINAWAN-WAGGA-GUGAA</t>
        </is>
      </c>
      <c r="C76" s="4" t="inlineStr">
        <is>
          <t>South West NSW REZ Stage 1</t>
        </is>
      </c>
      <c r="D76" s="4" t="inlineStr">
        <is>
          <t>Line upgrade</t>
        </is>
      </c>
      <c r="E76" s="4" t="inlineStr">
        <is>
          <t>Upgrade of the Dinawan - Wagga Wagga - Gugaa double-circuit line from 330 kV to 500 kV operation, with a bypass at Wagga Wagga; the lines were built at 500 kV as part of Project EnergyConnect and HumeLink.</t>
        </is>
      </c>
      <c r="F76" s="4" t="inlineStr">
        <is>
          <t>Actionable NSW project scope (N5 Option 1, N5 Option 2)</t>
        </is>
      </c>
      <c r="G76" s="4" t="inlineStr">
        <is>
          <t>HUM-AEMO-2026-ISP-A5</t>
        </is>
      </c>
      <c r="H76" s="4" t="inlineStr">
        <is>
          <t>52</t>
        </is>
      </c>
    </row>
    <row r="77">
      <c r="A77" s="4" t="inlineStr">
        <is>
          <t>VNI West (South West NSW REZ component)</t>
        </is>
      </c>
      <c r="B77" s="4" t="inlineStr">
        <is>
          <t>VNN-CMP-DINAWAN-SWITCHYARD</t>
        </is>
      </c>
      <c r="C77" s="4" t="inlineStr">
        <is>
          <t>South West NSW REZ Stage 1</t>
        </is>
      </c>
      <c r="D77" s="4" t="inlineStr">
        <is>
          <t>Switchyard</t>
        </is>
      </c>
      <c r="E77" s="4" t="inlineStr">
        <is>
          <t>Establish the Dinawan 500 kV switchyard with three 500/330 kV 1,500 MVA transformers.</t>
        </is>
      </c>
      <c r="F77" s="4" t="inlineStr">
        <is>
          <t>Actionable NSW project scope; the $7,600m cost includes two of the three transformers</t>
        </is>
      </c>
      <c r="G77" s="4" t="inlineStr">
        <is>
          <t>HUM-AEMO-2026-ISP-A5</t>
        </is>
      </c>
      <c r="H77" s="4" t="inlineStr">
        <is>
          <t>52</t>
        </is>
      </c>
    </row>
    <row r="78">
      <c r="A78" s="4" t="inlineStr">
        <is>
          <t>VNI West (South West NSW REZ component)</t>
        </is>
      </c>
      <c r="B78" s="4" t="inlineStr">
        <is>
          <t>VNN-CMP-THIRD-TRANSFORMER</t>
        </is>
      </c>
      <c r="C78" s="4" t="inlineStr">
        <is>
          <t>South West NSW REZ Stage 1 (N5 Option 2)</t>
        </is>
      </c>
      <c r="D78" s="4" t="inlineStr">
        <is>
          <t>Transformer</t>
        </is>
      </c>
      <c r="E78" s="4" t="inlineStr">
        <is>
          <t>Third Dinawan transformer added to the South West NSW REZ scope to expand REZ transfer capacity from Dinawan by 1,800 MW; modelled separately at $116m Class 5b (±50%).</t>
        </is>
      </c>
      <c r="F78" s="4" t="inlineStr">
        <is>
          <t>Separately modelled increment above the $7,600m two-transformer amount</t>
        </is>
      </c>
      <c r="G78" s="4" t="inlineStr">
        <is>
          <t>HUM-AEMO-2026-ISP-A5</t>
        </is>
      </c>
      <c r="H78" s="4" t="inlineStr">
        <is>
          <t>52</t>
        </is>
      </c>
    </row>
    <row r="79">
      <c r="A79" s="4" t="inlineStr">
        <is>
          <t>VNI West (South West NSW REZ component)</t>
        </is>
      </c>
      <c r="B79" s="4" t="inlineStr">
        <is>
          <t>VNN-CMP-REACTORS</t>
        </is>
      </c>
      <c r="C79" s="4" t="inlineStr">
        <is>
          <t>South West NSW REZ Stage 1</t>
        </is>
      </c>
      <c r="D79" s="4" t="inlineStr">
        <is>
          <t>Reactive plant</t>
        </is>
      </c>
      <c r="E79" s="4" t="inlineStr">
        <is>
          <t>500 kV line shunt reactors at both ends of the 500 kV double-circuit Dinawan - Gugaa lines, and bringing forward the line shunt reactors for the Dinawan - Tragowel 500 kV double-circuit for voltage support at Dinawan.</t>
        </is>
      </c>
      <c r="F79" s="4" t="inlineStr">
        <is>
          <t>Actionable NSW project scope</t>
        </is>
      </c>
      <c r="G79" s="4" t="inlineStr">
        <is>
          <t>HUM-AEMO-2026-ISP-A5</t>
        </is>
      </c>
      <c r="H79" s="4" t="inlineStr">
        <is>
          <t>52</t>
        </is>
      </c>
    </row>
    <row r="80">
      <c r="A80" s="4" t="inlineStr">
        <is>
          <t>VNI West (South West NSW REZ component)</t>
        </is>
      </c>
      <c r="B80" s="4" t="inlineStr">
        <is>
          <t>VNN-CMP-GUGAA-WAGGA-WORKS</t>
        </is>
      </c>
      <c r="C80" s="4" t="inlineStr">
        <is>
          <t>South West NSW REZ Stage 1</t>
        </is>
      </c>
      <c r="D80" s="4" t="inlineStr">
        <is>
          <t>Substation and line rebuild</t>
        </is>
      </c>
      <c r="E80" s="4" t="inlineStr">
        <is>
          <t>Cut-in of Gugaa substation between the Lower Tumut - Wagga 330 kV single-circuit line (line TL51), and rebuild of the 330 kV Gugaa - Wagga section of TL51 as a new double-circuit overhead line on the existing easement.</t>
        </is>
      </c>
      <c r="F80" s="4" t="inlineStr">
        <is>
          <t>Actionable NSW project scope</t>
        </is>
      </c>
      <c r="G80" s="4" t="inlineStr">
        <is>
          <t>HUM-AEMO-2026-ISP-A5</t>
        </is>
      </c>
      <c r="H80" s="4" t="inlineStr">
        <is>
          <t>53</t>
        </is>
      </c>
    </row>
    <row r="81">
      <c r="A81" s="4" t="inlineStr">
        <is>
          <t>VNI West (South West NSW REZ component)</t>
        </is>
      </c>
      <c r="B81" s="4" t="inlineStr">
        <is>
          <t>VNN-CMP-PREREQUISITES</t>
        </is>
      </c>
      <c r="C81" s="4" t="inlineStr">
        <is>
          <t>Related</t>
        </is>
      </c>
      <c r="D81" s="4" t="inlineStr">
        <is>
          <t>Prerequisite projects</t>
        </is>
      </c>
      <c r="E81" s="4" t="inlineStr">
        <is>
          <t>HumeLink and Project EnergyConnect are stated prerequisites for the South West NSW REZ Stage 1 scope; they are separate projects, not components of VNI West.</t>
        </is>
      </c>
      <c r="F81" s="4" t="inlineStr">
        <is>
          <t>Dependency, outside the VNI West cost boundary</t>
        </is>
      </c>
      <c r="G81" s="4" t="inlineStr">
        <is>
          <t>HUM-AEMO-2026-ISP-A5</t>
        </is>
      </c>
      <c r="H81" s="4" t="inlineStr">
        <is>
          <t>53</t>
        </is>
      </c>
    </row>
    <row r="82">
      <c r="A82" s="4" t="inlineStr">
        <is>
          <t>VNI West (South West NSW REZ component)</t>
        </is>
      </c>
      <c r="B82" s="4" t="inlineStr">
        <is>
          <t>VNN-CMP-STAGE2-VIC</t>
        </is>
      </c>
      <c r="C82" s="4" t="inlineStr">
        <is>
          <t>VIC-NSW Stage 2</t>
        </is>
      </c>
      <c r="D82" s="4" t="inlineStr">
        <is>
          <t>Interconnector</t>
        </is>
      </c>
      <c r="E82" s="4" t="inlineStr">
        <is>
          <t>New 500 kV double-circuit line from near Bulgana to Tragowel (near Kerang) to Dinawan with series compensation, a new Tragowel Terminal Station with two 500/220 kV 1,000 MVA transformers, and reactor and Victorian network works; prerequisites are VNI West South West NSW REZ Stage 1, Western Renewables Link, HumeLink and Project EnergyConnect.</t>
        </is>
      </c>
      <c r="F82" s="4" t="inlineStr">
        <is>
          <t>Actionable ISP project, Victorian-led; outside the NSW component but inside the shared $7,600m amount</t>
        </is>
      </c>
      <c r="G82" s="4" t="inlineStr">
        <is>
          <t>HUM-AEMO-2026-ISP-A5</t>
        </is>
      </c>
      <c r="H82" s="4" t="inlineStr">
        <is>
          <t>53</t>
        </is>
      </c>
    </row>
    <row r="83">
      <c r="A83" s="4" t="inlineStr">
        <is>
          <t>VNI West (Victoria)</t>
        </is>
      </c>
      <c r="B83" s="4" t="inlineStr">
        <is>
          <t>VNV-CMP-TRUNK-500KV</t>
        </is>
      </c>
      <c r="C83" s="4" t="inlineStr">
        <is>
          <t>VIC-NSW Stage 2</t>
        </is>
      </c>
      <c r="D83" s="4" t="inlineStr">
        <is>
          <t>Trunk line</t>
        </is>
      </c>
      <c r="E83" s="4" t="inlineStr">
        <is>
          <t>New 500 kV double-circuit overhead line from near Bulgana to Tragowel (near Kerang) to Dinawan, with series compensation on both 500 kV circuits between Tragowel and near Bulgana and 500 kV line shunt reactors at both ends of each circuit.</t>
        </is>
      </c>
      <c r="F83" s="4" t="inlineStr">
        <is>
          <t>Spans Victoria and NSW; no per-state length or cost split is published</t>
        </is>
      </c>
      <c r="G83" s="4" t="inlineStr">
        <is>
          <t>HUM-AEMO-2026-ISP-A5</t>
        </is>
      </c>
      <c r="H83" s="4" t="inlineStr">
        <is>
          <t>53</t>
        </is>
      </c>
    </row>
    <row r="84">
      <c r="A84" s="4" t="inlineStr">
        <is>
          <t>VNI West (Victoria)</t>
        </is>
      </c>
      <c r="B84" s="4" t="inlineStr">
        <is>
          <t>VNV-CMP-TRAGOWEL</t>
        </is>
      </c>
      <c r="C84" s="4" t="inlineStr">
        <is>
          <t>VIC-NSW Stage 2</t>
        </is>
      </c>
      <c r="D84" s="4" t="inlineStr">
        <is>
          <t>Terminal station</t>
        </is>
      </c>
      <c r="E84" s="4" t="inlineStr">
        <is>
          <t>New Tragowel Terminal Station near Kerang with two 500/220 kV 1,000 MVA transformers, 220 kV connections to the existing 220 kV lines near Kerang, and up to +/- 400 MVAr dynamic reactive compensation.</t>
        </is>
      </c>
      <c r="F84" s="4" t="inlineStr">
        <is>
          <t>Victorian end of the integrated project</t>
        </is>
      </c>
      <c r="G84" s="4" t="inlineStr">
        <is>
          <t>HUM-AEMO-2026-ISP-A5</t>
        </is>
      </c>
      <c r="H84" s="4" t="inlineStr">
        <is>
          <t>53</t>
        </is>
      </c>
    </row>
    <row r="85">
      <c r="A85" s="4" t="inlineStr">
        <is>
          <t>VNI West (Victoria)</t>
        </is>
      </c>
      <c r="B85" s="4" t="inlineStr">
        <is>
          <t>VNV-CMP-BULGANA</t>
        </is>
      </c>
      <c r="C85" s="4" t="inlineStr">
        <is>
          <t>VIC-NSW Stage 2</t>
        </is>
      </c>
      <c r="D85" s="4" t="inlineStr">
        <is>
          <t>Connection point</t>
        </is>
      </c>
      <c r="E85" s="4" t="inlineStr">
        <is>
          <t>Two new 500 kV bays and line exits with two 500 kV line shunt reactors at the terminal station near Bulgana, where VNI West connects to the Western Renewables Link.</t>
        </is>
      </c>
      <c r="F85" s="4" t="inlineStr">
        <is>
          <t>Shared interface with WRL; WRL assets and costs are not VNI West components</t>
        </is>
      </c>
      <c r="G85" s="4" t="inlineStr">
        <is>
          <t>HUM-AEMO-2026-ISP-A5</t>
        </is>
      </c>
      <c r="H85" s="4" t="inlineStr">
        <is>
          <t>51, 53</t>
        </is>
      </c>
    </row>
    <row r="86">
      <c r="A86" s="4" t="inlineStr">
        <is>
          <t>VNI West (Victoria)</t>
        </is>
      </c>
      <c r="B86" s="4" t="inlineStr">
        <is>
          <t>VNV-CMP-SOUTH-MORANG</t>
        </is>
      </c>
      <c r="C86" s="4" t="inlineStr">
        <is>
          <t>VIC-NSW Stage 2</t>
        </is>
      </c>
      <c r="D86" s="4" t="inlineStr">
        <is>
          <t>Victorian network works</t>
        </is>
      </c>
      <c r="E86" s="4" t="inlineStr">
        <is>
          <t>Eildon - Thomastown and Rowville - Thomastown 220 kV lines cut into at South Morang creating a normally operating direct connection, replacing previously proposed modular power flow controllers, with South Morang - Thomastown sections bridged to increase capacity.</t>
        </is>
      </c>
      <c r="F86" s="4" t="inlineStr">
        <is>
          <t>Victorian shared-network works inside the VNI West scope</t>
        </is>
      </c>
      <c r="G86" s="4" t="inlineStr">
        <is>
          <t>HUM-AEMO-2026-ISP-A5</t>
        </is>
      </c>
      <c r="H86" s="4" t="inlineStr">
        <is>
          <t>53</t>
        </is>
      </c>
    </row>
    <row r="87">
      <c r="A87" s="4" t="inlineStr">
        <is>
          <t>VNI West (Victoria)</t>
        </is>
      </c>
      <c r="B87" s="4" t="inlineStr">
        <is>
          <t>VNV-CMP-SWNSW-REZ</t>
        </is>
      </c>
      <c r="C87" s="4" t="inlineStr">
        <is>
          <t>South West NSW REZ Stage 1</t>
        </is>
      </c>
      <c r="D87" s="4" t="inlineStr">
        <is>
          <t>NSW portion</t>
        </is>
      </c>
      <c r="E87" s="4" t="inlineStr">
        <is>
          <t>Dinawan - Wagga Wagga - Gugaa 330 kV to 500 kV upgrade with Wagga Wagga bypass, Dinawan 500 kV switchyard with three 500/330 kV 1,500 MVA transformers, Gugaa cut-in and Gugaa - Wagga 330 kV rebuild. Categorised as an actionable NSW project under the Electricity Infrastructure Investment Act 2020 (NSW), not the ISP framework.</t>
        </is>
      </c>
      <c r="F87" s="4" t="inlineStr">
        <is>
          <t>NSW end of the same integrated project; its cost is inside the $7,600m reported total but has a separate statutory pathway</t>
        </is>
      </c>
      <c r="G87" s="4" t="inlineStr">
        <is>
          <t>HUM-AEMO-2026-ISP-A5</t>
        </is>
      </c>
      <c r="H87" s="4" t="inlineStr">
        <is>
          <t>51-52</t>
        </is>
      </c>
    </row>
    <row r="88">
      <c r="A88" s="4" t="inlineStr">
        <is>
          <t>VNI West (Victoria)</t>
        </is>
      </c>
      <c r="B88" s="4" t="inlineStr">
        <is>
          <t>VNV-CMP-WRL-INTERFACE</t>
        </is>
      </c>
      <c r="C88" s="4" t="inlineStr">
        <is>
          <t>Prerequisite / interface</t>
        </is>
      </c>
      <c r="D88" s="4" t="inlineStr">
        <is>
          <t>Related project</t>
        </is>
      </c>
      <c r="E88" s="4" t="inlineStr">
        <is>
          <t>Western Renewables Link: relocation of the proposed North Ballarat terminal station to Bulgana and uprating of the north-Ballarat-to-Bulgana line from 220 kV to 500 kV, an updated scope arising from the VNI West PACR and the NEVA order.</t>
        </is>
      </c>
      <c r="F88" s="4" t="inlineStr">
        <is>
          <t>Separate project; its $315m sits inside AEMO's 2024 quoted VNI West cost but WRL assets and costs must not be added to VNI West</t>
        </is>
      </c>
      <c r="G88" s="4" t="inlineStr">
        <is>
          <t>HUM-AEMO-2026-ISP-A5</t>
        </is>
      </c>
      <c r="H88" s="4" t="inlineStr">
        <is>
          <t>24</t>
        </is>
      </c>
    </row>
    <row r="89">
      <c r="A89" s="4" t="inlineStr">
        <is>
          <t>VNI West (Victoria)</t>
        </is>
      </c>
      <c r="B89" s="4" t="inlineStr">
        <is>
          <t>VNV-CMP-PREREQUISITES</t>
        </is>
      </c>
      <c r="C89" s="4" t="inlineStr">
        <is>
          <t>Dependencies</t>
        </is>
      </c>
      <c r="D89" s="4" t="inlineStr">
        <is>
          <t>Prerequisite projects</t>
        </is>
      </c>
      <c r="E89" s="4" t="inlineStr">
        <is>
          <t>AEMO states the prerequisites for VIC-NSW Stage 2 as VNI West - South West NSW REZ Stage 1, Victorian Western Renewables Link, HumeLink and Project EnergyConnect.</t>
        </is>
      </c>
      <c r="F89" s="4" t="inlineStr">
        <is>
          <t>Dependencies, not components; their costs are separate</t>
        </is>
      </c>
      <c r="G89" s="4" t="inlineStr">
        <is>
          <t>HUM-AEMO-2026-ISP-A5</t>
        </is>
      </c>
      <c r="H89" s="4" t="inlineStr">
        <is>
          <t>53</t>
        </is>
      </c>
    </row>
    <row r="90">
      <c r="A90" s="4" t="inlineStr">
        <is>
          <t>Western Renewables Link</t>
        </is>
      </c>
      <c r="B90" s="4" t="inlineStr">
        <is>
          <t>WRL-CMP-TRUNK-LINE</t>
        </is>
      </c>
      <c r="C90" s="4" t="inlineStr">
        <is>
          <t>2026 scope</t>
        </is>
      </c>
      <c r="D90" s="4" t="inlineStr">
        <is>
          <t>Transmission line</t>
        </is>
      </c>
      <c r="E90" s="4" t="inlineStr">
        <is>
          <t>A new 500 kV double-circuit transmission line from Sydenham Terminal Station to Bulgana Terminal Station with switched shunt line reactors at the end of each circuit (approximately 70 MVAr).</t>
        </is>
      </c>
      <c r="F90" s="4" t="inlineStr">
        <is>
          <t>WRL delivery scope</t>
        </is>
      </c>
      <c r="G90" s="4" t="inlineStr">
        <is>
          <t>HUM-AEMO-2026-ISP-A5</t>
        </is>
      </c>
      <c r="H90" s="4" t="inlineStr">
        <is>
          <t>24</t>
        </is>
      </c>
    </row>
    <row r="91">
      <c r="A91" s="4" t="inlineStr">
        <is>
          <t>Western Renewables Link</t>
        </is>
      </c>
      <c r="B91" s="4" t="inlineStr">
        <is>
          <t>WRL-CMP-SYDENHAM-BAYS</t>
        </is>
      </c>
      <c r="C91" s="4" t="inlineStr">
        <is>
          <t>2026 scope</t>
        </is>
      </c>
      <c r="D91" s="4" t="inlineStr">
        <is>
          <t>Terminal station</t>
        </is>
      </c>
      <c r="E91" s="4" t="inlineStr">
        <is>
          <t>Extension of the 500 kV Sydenham Terminal Station by two breaker-and-a-half switched bays.</t>
        </is>
      </c>
      <c r="F91" s="4" t="inlineStr">
        <is>
          <t>WRL delivery scope</t>
        </is>
      </c>
      <c r="G91" s="4" t="inlineStr">
        <is>
          <t>HUM-AEMO-2026-ISP-A5</t>
        </is>
      </c>
      <c r="H91" s="4" t="inlineStr">
        <is>
          <t>24</t>
        </is>
      </c>
    </row>
    <row r="92">
      <c r="A92" s="4" t="inlineStr">
        <is>
          <t>Western Renewables Link</t>
        </is>
      </c>
      <c r="B92" s="4" t="inlineStr">
        <is>
          <t>WRL-CMP-SYDENHAM-BUS-REACTOR</t>
        </is>
      </c>
      <c r="C92" s="4" t="inlineStr">
        <is>
          <t>2026 scope</t>
        </is>
      </c>
      <c r="D92" s="4" t="inlineStr">
        <is>
          <t>Reactive plant</t>
        </is>
      </c>
      <c r="E92" s="4" t="inlineStr">
        <is>
          <t>Additional 100 MVAr at 500 kV switched bus reactor at Sydenham Terminal Station.</t>
        </is>
      </c>
      <c r="F92" s="4" t="inlineStr">
        <is>
          <t>WRL delivery scope</t>
        </is>
      </c>
      <c r="G92" s="4" t="inlineStr">
        <is>
          <t>HUM-AEMO-2026-ISP-A5</t>
        </is>
      </c>
      <c r="H92" s="4" t="inlineStr">
        <is>
          <t>24</t>
        </is>
      </c>
    </row>
    <row r="93">
      <c r="A93" s="4" t="inlineStr">
        <is>
          <t>Western Renewables Link</t>
        </is>
      </c>
      <c r="B93" s="4" t="inlineStr">
        <is>
          <t>WRL-CMP-SYDENHAM-REROUTE</t>
        </is>
      </c>
      <c r="C93" s="4" t="inlineStr">
        <is>
          <t>2026 scope</t>
        </is>
      </c>
      <c r="D93" s="4" t="inlineStr">
        <is>
          <t>Transmission line</t>
        </is>
      </c>
      <c r="E93" s="4" t="inlineStr">
        <is>
          <t>Rerouting of the existing No. 1 Sydenham to South Morang and Sydenham to Keilor 500 kV transmission lines to terminate into new bays at Sydenham Terminal Station.</t>
        </is>
      </c>
      <c r="F93" s="4" t="inlineStr">
        <is>
          <t>WRL delivery scope; works on existing assets</t>
        </is>
      </c>
      <c r="G93" s="4" t="inlineStr">
        <is>
          <t>HUM-AEMO-2026-ISP-A5</t>
        </is>
      </c>
      <c r="H93" s="4" t="inlineStr">
        <is>
          <t>25</t>
        </is>
      </c>
    </row>
    <row r="94">
      <c r="A94" s="4" t="inlineStr">
        <is>
          <t>Western Renewables Link</t>
        </is>
      </c>
      <c r="B94" s="4" t="inlineStr">
        <is>
          <t>WRL-CMP-BULGANA-220-BUS</t>
        </is>
      </c>
      <c r="C94" s="4" t="inlineStr">
        <is>
          <t>2026 scope</t>
        </is>
      </c>
      <c r="D94" s="4" t="inlineStr">
        <is>
          <t>Terminal station</t>
        </is>
      </c>
      <c r="E94" s="4" t="inlineStr">
        <is>
          <t>Construction of new 220 kV circuit breakers and a second 220 kV bus at Bulgana Terminal Station.</t>
        </is>
      </c>
      <c r="F94" s="4" t="inlineStr">
        <is>
          <t>Bulgana Terminal Station: shared WRL / VNI West interface, not allocated</t>
        </is>
      </c>
      <c r="G94" s="4" t="inlineStr">
        <is>
          <t>HUM-AEMO-2026-ISP-A5</t>
        </is>
      </c>
      <c r="H94" s="4" t="inlineStr">
        <is>
          <t>25</t>
        </is>
      </c>
    </row>
    <row r="95">
      <c r="A95" s="4" t="inlineStr">
        <is>
          <t>Western Renewables Link</t>
        </is>
      </c>
      <c r="B95" s="4" t="inlineStr">
        <is>
          <t>WRL-CMP-BULGANA-500-SWITCHYARD</t>
        </is>
      </c>
      <c r="C95" s="4" t="inlineStr">
        <is>
          <t>2026 scope</t>
        </is>
      </c>
      <c r="D95" s="4" t="inlineStr">
        <is>
          <t>Terminal station / transformers</t>
        </is>
      </c>
      <c r="E95" s="4" t="inlineStr">
        <is>
          <t>A new 500 kV switchyard at Bulgana Terminal Station with two new 500/220 kV 1,000 MVA transformers, transmission line realignment, site provisioning and line cut in works for the existing Bulgana to Horsham 220 kV and Crowlands to Bulgana 220 kV transmission lines.</t>
        </is>
      </c>
      <c r="F95" s="4" t="inlineStr">
        <is>
          <t>Bulgana Terminal Station: shared WRL / VNI West interface, not allocated</t>
        </is>
      </c>
      <c r="G95" s="4" t="inlineStr">
        <is>
          <t>HUM-AEMO-2026-ISP-A5</t>
        </is>
      </c>
      <c r="H95" s="4" t="inlineStr">
        <is>
          <t>25</t>
        </is>
      </c>
    </row>
    <row r="96">
      <c r="A96" s="4" t="inlineStr">
        <is>
          <t>Western Renewables Link</t>
        </is>
      </c>
      <c r="B96" s="4" t="inlineStr">
        <is>
          <t>WRL-CMP-ELAINE-CUTIN</t>
        </is>
      </c>
      <c r="C96" s="4" t="inlineStr">
        <is>
          <t>2026 scope</t>
        </is>
      </c>
      <c r="D96" s="4" t="inlineStr">
        <is>
          <t>Terminal station</t>
        </is>
      </c>
      <c r="E96" s="4" t="inlineStr">
        <is>
          <t>Cut-in, termination and switching of the existing Ballarat to Moorabool No. 2 220 kV transmission line at Elaine Terminal Station, forming Ballarat to Elaine No. 2 line and Elaine to Moorabool No. 2 line.</t>
        </is>
      </c>
      <c r="F96" s="4" t="inlineStr">
        <is>
          <t>WRL delivery scope; works on existing assets</t>
        </is>
      </c>
      <c r="G96" s="4" t="inlineStr">
        <is>
          <t>HUM-AEMO-2026-ISP-A5</t>
        </is>
      </c>
      <c r="H96" s="4" t="inlineStr">
        <is>
          <t>25</t>
        </is>
      </c>
    </row>
    <row r="97">
      <c r="A97" s="4" t="inlineStr">
        <is>
          <t>Western Renewables Link</t>
        </is>
      </c>
      <c r="B97" s="4" t="inlineStr">
        <is>
          <t>WRL-CMP-ELAINE-REALIGN</t>
        </is>
      </c>
      <c r="C97" s="4" t="inlineStr">
        <is>
          <t>2026 scope</t>
        </is>
      </c>
      <c r="D97" s="4" t="inlineStr">
        <is>
          <t>Terminal station</t>
        </is>
      </c>
      <c r="E97" s="4" t="inlineStr">
        <is>
          <t>Re-alignment and switching of the existing Ballarat to Elaine and Elaine to Moorabool transmission lines at Elaine Terminal Station, renamed Ballarat to Elaine No. 3 line and Elaine to Moorabool No. 3 line.</t>
        </is>
      </c>
      <c r="F97" s="4" t="inlineStr">
        <is>
          <t>WRL delivery scope; works on existing assets</t>
        </is>
      </c>
      <c r="G97" s="4" t="inlineStr">
        <is>
          <t>HUM-AEMO-2026-ISP-A5</t>
        </is>
      </c>
      <c r="H97" s="4" t="inlineStr">
        <is>
          <t>25</t>
        </is>
      </c>
    </row>
    <row r="98">
      <c r="A98" s="4" t="inlineStr">
        <is>
          <t>Western Renewables Link</t>
        </is>
      </c>
      <c r="B98" s="4" t="inlineStr">
        <is>
          <t>WRL-CMP-CONTROL-SCHEMES</t>
        </is>
      </c>
      <c r="C98" s="4" t="inlineStr">
        <is>
          <t>2026 scope</t>
        </is>
      </c>
      <c r="D98" s="4" t="inlineStr">
        <is>
          <t>Protection and control</t>
        </is>
      </c>
      <c r="E98" s="4" t="inlineStr">
        <is>
          <t>Implementation of new Special Control Schemes and/or amendment of some existing ones at multiple stations.</t>
        </is>
      </c>
      <c r="F98" s="4" t="inlineStr">
        <is>
          <t>WRL delivery scope</t>
        </is>
      </c>
      <c r="G98" s="4" t="inlineStr">
        <is>
          <t>HUM-AEMO-2026-ISP-A5</t>
        </is>
      </c>
      <c r="H98" s="4" t="inlineStr">
        <is>
          <t>25</t>
        </is>
      </c>
    </row>
    <row r="99">
      <c r="A99" s="4" t="inlineStr">
        <is>
          <t>Western Renewables Link</t>
        </is>
      </c>
      <c r="B99" s="4" t="inlineStr">
        <is>
          <t>WRL-CMP-EARTHING</t>
        </is>
      </c>
      <c r="C99" s="4" t="inlineStr">
        <is>
          <t>2026 scope</t>
        </is>
      </c>
      <c r="D99" s="4" t="inlineStr">
        <is>
          <t>Protection and control</t>
        </is>
      </c>
      <c r="E99" s="4" t="inlineStr">
        <is>
          <t>Validation of the capabilities of the existing earthing systems at multiple stations and the connected 220 kV transmission lines optic ground wire and/or earth wire.</t>
        </is>
      </c>
      <c r="F99" s="4" t="inlineStr">
        <is>
          <t>WRL delivery scope</t>
        </is>
      </c>
      <c r="G99" s="4" t="inlineStr">
        <is>
          <t>HUM-AEMO-2026-ISP-A5</t>
        </is>
      </c>
      <c r="H99" s="4" t="inlineStr">
        <is>
          <t>25</t>
        </is>
      </c>
    </row>
    <row r="100">
      <c r="A100" s="4" t="inlineStr">
        <is>
          <t>Western Renewables Link</t>
        </is>
      </c>
      <c r="B100" s="4" t="inlineStr">
        <is>
          <t>WRL-CMP-MINOR-TERMINALS</t>
        </is>
      </c>
      <c r="C100" s="4" t="inlineStr">
        <is>
          <t>2026 scope</t>
        </is>
      </c>
      <c r="D100" s="4" t="inlineStr">
        <is>
          <t>Interface works</t>
        </is>
      </c>
      <c r="E100" s="4" t="inlineStr">
        <is>
          <t>Minor augmentations at existing terminal stations impacted by the WRL works.</t>
        </is>
      </c>
      <c r="F100" s="4" t="inlineStr">
        <is>
          <t>WRL delivery scope; unenumerated</t>
        </is>
      </c>
      <c r="G100" s="4" t="inlineStr">
        <is>
          <t>HUM-AEMO-2026-ISP-A5</t>
        </is>
      </c>
      <c r="H100" s="4" t="inlineStr">
        <is>
          <t>25</t>
        </is>
      </c>
    </row>
    <row r="101">
      <c r="A101" s="4" t="inlineStr">
        <is>
          <t>Western Renewables Link</t>
        </is>
      </c>
      <c r="B101" s="4" t="inlineStr">
        <is>
          <t>WRL-CMP-2024-SCOPE-VERSION</t>
        </is>
      </c>
      <c r="C101" s="4" t="inlineStr">
        <is>
          <t>2024 scope (superseded)</t>
        </is>
      </c>
      <c r="D101" s="4" t="inlineStr">
        <is>
          <t>Prior scope version</t>
        </is>
      </c>
      <c r="E101" s="4" t="inlineStr">
        <is>
          <t>Shorter 2024 delivery scope: Sydenham to Bulgana 500 kV double-circuit line with approximately 70 MVAr line reactors; new 500 kV switchyard with two 1,000 MVA 500/220 kV transformers at Bulgana; Sydenham extension and augmentation; additional 100 MVAr 500 kV switched bus reactor; Elaine cut-in of the Ballarat to Moorabool No.2 220 kV line.</t>
        </is>
      </c>
      <c r="F101" s="4" t="inlineStr">
        <is>
          <t>Superseded WRL scope version; preserved, not rewritten</t>
        </is>
      </c>
      <c r="G101" s="4" t="inlineStr">
        <is>
          <t>HUM-AEMO-2024-ISP-A5</t>
        </is>
      </c>
      <c r="H101" s="4" t="inlineStr">
        <is>
          <t>19</t>
        </is>
      </c>
    </row>
    <row r="102">
      <c r="A102" s="4" t="inlineStr">
        <is>
          <t>Western Renewables Link</t>
        </is>
      </c>
      <c r="B102" s="4" t="inlineStr">
        <is>
          <t>WRL-CMP-2023-ORDER-SCHEDULE2</t>
        </is>
      </c>
      <c r="C102" s="4" t="inlineStr">
        <is>
          <t>2023 Ministerial Order scope (Schedule 2)</t>
        </is>
      </c>
      <c r="D102" s="4" t="inlineStr">
        <is>
          <t>Original scope-defining legal instrument</t>
        </is>
      </c>
      <c r="E102" s="4" t="inlineStr">
        <is>
          <t>WRL Uprate specified augmentation under Schedule 2 of the s16Y Order: extension of Sydenham Terminal Station by two breaker-and-a-half switched bays; additional approximately 100 MVAr 500 kV switched bus reactor; rerouting of the No. 1 Sydenham-South Morang and Sydenham-Keilor 500 kV lines into new bays; new 220 kV circuit breakers and a second 220 kV bus at Bulgana; new 500 kV double-circuit line from Sydenham to Bulgana with switched, estimated 70 MVAr shunt line reactors at the end of each circuit; extension of the existing 220 kV Bulgana site to an adjacent 500 kV switchyard with two 500/220 kV 1,000 MVA transformers and line cut-ins for the Bulgana-Horsham and Crowlands-Bulgana 220 kV lines; new 220 kV circuit breakers at Ballarat Terminal Station for double switching; Elaine Terminal Station cut-in and re-alignment works; interface activities at various terminal stations; minor augmentations at impacted terminal stations.</t>
        </is>
      </c>
      <c r="F102" s="4" t="inlineStr">
        <is>
          <t>Legal specification underlying the AEMO 2024/2026 WRL delivery scope summaries; this order predates and is the origin of those summaries</t>
        </is>
      </c>
      <c r="G102" s="4" t="inlineStr">
        <is>
          <t>VNV-VIC-GAZETTE-2023-S267</t>
        </is>
      </c>
      <c r="H102" s="4" t="inlineStr">
        <is>
          <t>8</t>
        </is>
      </c>
    </row>
    <row r="103">
      <c r="A103" s="4" t="inlineStr">
        <is>
          <t>Western Renewables Link</t>
        </is>
      </c>
      <c r="B103" s="4" t="inlineStr">
        <is>
          <t>WRL-CMP-BALLARAT-DOUBLE-SWITCHING</t>
        </is>
      </c>
      <c r="C103" s="4" t="inlineStr">
        <is>
          <t>2023 Ministerial Order scope (Schedule 2)</t>
        </is>
      </c>
      <c r="D103" s="4" t="inlineStr">
        <is>
          <t>Terminal station</t>
        </is>
      </c>
      <c r="E103" s="4" t="inlineStr">
        <is>
          <t>Installation of new 220 kV circuit breakers at Ballarat Terminal Station (BATS) to establish double switching on the existing 220 kV bays.</t>
        </is>
      </c>
      <c r="F103" s="4" t="inlineStr">
        <is>
          <t>WRL Uprate delivery scope per Schedule 2 of the s16Y Order; not enumerated in the AEMO 2024 or 2026 ISP delivery scope summaries</t>
        </is>
      </c>
      <c r="G103" s="4" t="inlineStr">
        <is>
          <t>VNV-VIC-GAZETTE-2023-S267</t>
        </is>
      </c>
      <c r="H103" s="4" t="inlineStr">
        <is>
          <t>8</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42"/>
  <sheetViews>
    <sheetView showGridLines="0" workbookViewId="0">
      <pane ySplit="4" topLeftCell="A5" activePane="bottomLeft" state="frozen"/>
      <selection pane="bottomLeft" activeCell="A1" sqref="A1"/>
    </sheetView>
  </sheetViews>
  <sheetFormatPr baseColWidth="8" defaultRowHeight="15"/>
  <cols>
    <col width="24" customWidth="1" min="1" max="1"/>
    <col width="13" customWidth="1" min="2" max="2"/>
    <col width="40" customWidth="1" min="3" max="3"/>
    <col width="30" customWidth="1" min="4" max="4"/>
    <col width="80" customWidth="1" min="5" max="5"/>
    <col width="26" customWidth="1" min="6" max="6"/>
    <col width="16" customWidth="1" min="7" max="7"/>
  </cols>
  <sheetData>
    <row r="1" ht="38" customHeight="1">
      <c r="A1" s="1" t="inlineStr">
        <is>
          <t>Timeline</t>
        </is>
      </c>
    </row>
    <row r="2" ht="26" customHeight="1">
      <c r="A2" s="2" t="inlineStr">
        <is>
          <t>Dated versions, options, applications, decisions and status changes. Later documents do not erase earlier claims.</t>
        </is>
      </c>
    </row>
    <row r="4" ht="30" customHeight="1">
      <c r="A4" s="3" t="inlineStr">
        <is>
          <t>Family</t>
        </is>
      </c>
      <c r="B4" s="3" t="inlineStr">
        <is>
          <t>Date</t>
        </is>
      </c>
      <c r="C4" s="3" t="inlineStr">
        <is>
          <t>Event</t>
        </is>
      </c>
      <c r="D4" s="3" t="inlineStr">
        <is>
          <t>Status</t>
        </is>
      </c>
      <c r="E4" s="3" t="inlineStr">
        <is>
          <t>Detail</t>
        </is>
      </c>
      <c r="F4" s="3" t="inlineStr">
        <is>
          <t>Source ID</t>
        </is>
      </c>
      <c r="G4" s="3" t="inlineStr">
        <is>
          <t>Pages</t>
        </is>
      </c>
    </row>
    <row r="5">
      <c r="A5" s="4" t="inlineStr">
        <is>
          <t>Central-West Orana Renewable Energy Zone</t>
        </is>
      </c>
      <c r="B5" s="4" t="inlineStr">
        <is>
          <t>2020-07-30</t>
        </is>
      </c>
      <c r="C5" s="4" t="inlineStr">
        <is>
          <t>2020 ISP lists the CWO REZ Transmission Link as actionable</t>
        </is>
      </c>
      <c r="D5" s="4" t="inlineStr">
        <is>
          <t>planner</t>
        </is>
      </c>
      <c r="E5" s="4" t="inlineStr">
        <is>
          <t>Timed for 2024-25 with the RIT-T not yet initiated; cost range $450m-$850m, ISP modelled cost $650m, +3,000 MW hosting.</t>
        </is>
      </c>
      <c r="F5" s="4" t="inlineStr">
        <is>
          <t>CWO-01</t>
        </is>
      </c>
      <c r="G5" s="4" t="inlineStr">
        <is>
          <t>14, 31-32</t>
        </is>
      </c>
    </row>
    <row r="6">
      <c r="A6" s="4" t="inlineStr">
        <is>
          <t>Central-West Orana Renewable Energy Zone</t>
        </is>
      </c>
      <c r="B6" s="4" t="inlineStr">
        <is>
          <t>2021-11-05</t>
        </is>
      </c>
      <c r="C6" s="4" t="inlineStr">
        <is>
          <t>CWO REZ declared</t>
        </is>
      </c>
      <c r="D6" s="4" t="inlineStr">
        <is>
          <t>statutory declaration</t>
        </is>
      </c>
      <c r="E6" s="4" t="inlineStr">
        <is>
          <t>Ministerial order declares the REZ, sets intended network capacity at 3 gigawatts and appoints the Energy Corporation as infrastructure planner.</t>
        </is>
      </c>
      <c r="F6" s="4" t="inlineStr">
        <is>
          <t>CWO-02</t>
        </is>
      </c>
      <c r="G6" s="4" t="inlineStr">
        <is>
          <t>3</t>
        </is>
      </c>
    </row>
    <row r="7">
      <c r="A7" s="4" t="inlineStr">
        <is>
          <t>Central-West Orana Renewable Energy Zone</t>
        </is>
      </c>
      <c r="B7" s="4" t="inlineStr">
        <is>
          <t>2022-12-23</t>
        </is>
      </c>
      <c r="C7" s="4" t="inlineStr">
        <is>
          <t>Initial CWO access scheme commences</t>
        </is>
      </c>
      <c r="D7" s="4" t="inlineStr">
        <is>
          <t>ministerial order (statutory instrument)</t>
        </is>
      </c>
      <c r="E7" s="4" t="inlineStr">
        <is>
          <t>The Renewable Energy Zone (Central-West Orana) Access Scheme Order 2022, made under section 24(1) of the Electricity Infrastructure Investment Act 2020, commences on the date it is published in the Gazette; it was published as NSW Government Gazette No 591 of 23 December 2022 (item n2022-2545) and sets an initial aggregate maximum capacity cap of 5.84 GW and a 4.37% target transmission curtailment level for the initial term. Previously recited only indirectly through the Main authorisation (CWO-10); the order itself is now archived.</t>
        </is>
      </c>
      <c r="F7" s="4" t="inlineStr">
        <is>
          <t>CWO-25</t>
        </is>
      </c>
      <c r="G7" s="4" t="inlineStr">
        <is>
          <t>18-19, 22</t>
        </is>
      </c>
    </row>
    <row r="8">
      <c r="A8" s="4" t="inlineStr">
        <is>
          <t>Central-West Orana Renewable Energy Zone</t>
        </is>
      </c>
      <c r="B8" s="4" t="inlineStr">
        <is>
          <t>2023-05</t>
        </is>
      </c>
      <c r="C8" s="4" t="inlineStr">
        <is>
          <t>EnergyCo Network Infrastructure Strategy adopts Option 1A</t>
        </is>
      </c>
      <c r="D8" s="4" t="inlineStr">
        <is>
          <t>proponent strategy</t>
        </is>
      </c>
      <c r="E8" s="4" t="inlineStr">
        <is>
          <t>Deliver Now 4.5 GW at $3.2 billion, Secure Now +2.3 GW at $0.8 billion, Plan for the Future +3.5 GW at $1.3 billion, all real 2021 Class 5b; Appendix B records Option 1A at $3,186m and Option 2B at $324m.</t>
        </is>
      </c>
      <c r="F8" s="4" t="inlineStr">
        <is>
          <t>CWO-04</t>
        </is>
      </c>
      <c r="G8" s="4" t="inlineStr">
        <is>
          <t>24, 31-32</t>
        </is>
      </c>
    </row>
    <row r="9">
      <c r="A9" s="4" t="inlineStr">
        <is>
          <t>Central-West Orana Renewable Energy Zone</t>
        </is>
      </c>
      <c r="B9" s="4" t="inlineStr">
        <is>
          <t>2023-12-15</t>
        </is>
      </c>
      <c r="C9" s="4" t="inlineStr">
        <is>
          <t>Declaration amended to raise intended capacity</t>
        </is>
      </c>
      <c r="D9" s="4" t="inlineStr">
        <is>
          <t>statutory amendment</t>
        </is>
      </c>
      <c r="E9" s="4" t="inlineStr">
        <is>
          <t>Gazette No 580 amends clause 5 of the CWO REZ declaration; later official sources state the increase was from 3 GW to 6 GW with 4.5 GW initial delivery. The archived derivative renders the amended figure illegibly.</t>
        </is>
      </c>
      <c r="F9" s="4" t="inlineStr">
        <is>
          <t>CWO-06</t>
        </is>
      </c>
      <c r="G9" s="4" t="inlineStr">
        <is>
          <t>3-4</t>
        </is>
      </c>
    </row>
    <row r="10">
      <c r="A10" s="4" t="inlineStr">
        <is>
          <t>Central-West Orana Renewable Energy Zone</t>
        </is>
      </c>
      <c r="B10" s="4" t="inlineStr">
        <is>
          <t>2024-04-05</t>
        </is>
      </c>
      <c r="C10" s="4" t="inlineStr">
        <is>
          <t>Access scheme amendment</t>
        </is>
      </c>
      <c r="D10" s="4" t="inlineStr">
        <is>
          <t>statutory amendment</t>
        </is>
      </c>
      <c r="E10" s="4" t="inlineStr">
        <is>
          <t>Gazette No 116 amends the CWO REZ access scheme, enabling the application process for initial access rights.</t>
        </is>
      </c>
      <c r="F10" s="4" t="inlineStr">
        <is>
          <t>CWO-07</t>
        </is>
      </c>
      <c r="G10" s="4" t="inlineStr">
        <is>
          <t>2-5</t>
        </is>
      </c>
    </row>
    <row r="11">
      <c r="A11" s="4" t="inlineStr">
        <is>
          <t>Central-West Orana Renewable Energy Zone</t>
        </is>
      </c>
      <c r="B11" s="4" t="inlineStr">
        <is>
          <t>2024-04-19</t>
        </is>
      </c>
      <c r="C11" s="4" t="inlineStr">
        <is>
          <t>Network infrastructure specification amendment</t>
        </is>
      </c>
      <c r="D11" s="4" t="inlineStr">
        <is>
          <t>statutory amendment</t>
        </is>
      </c>
      <c r="E11" s="4" t="inlineStr">
        <is>
          <t>Gazette No 137 replaces Schedule 2 of the declaration with a detailed specification of the network infrastructure. The AER's footnote cites this instrument as Gazette No 147.</t>
        </is>
      </c>
      <c r="F11" s="4" t="inlineStr">
        <is>
          <t>CWO-08</t>
        </is>
      </c>
      <c r="G11" s="4" t="inlineStr">
        <is>
          <t>3, 6</t>
        </is>
      </c>
    </row>
    <row r="12">
      <c r="A12" s="4" t="inlineStr">
        <is>
          <t>Central-West Orana Renewable Energy Zone</t>
        </is>
      </c>
      <c r="B12" s="4" t="inlineStr">
        <is>
          <t>2024-05-22</t>
        </is>
      </c>
      <c r="C12" s="4" t="inlineStr">
        <is>
          <t>EnergyCo infrastructure planner recommendation published</t>
        </is>
      </c>
      <c r="D12" s="4" t="inlineStr">
        <is>
          <t>proponent recommendation</t>
        </is>
      </c>
      <c r="E12" s="4" t="inlineStr">
        <is>
          <t>Recommends ACEREZ for the Main RNIP and Transgrid for the Enabling RNIP and reports about $5.45 billion NER-equivalent consumer-funded capital cost as at February 2024, excluding generator-borne H2P and system strength, financing and contingency.</t>
        </is>
      </c>
      <c r="F12" s="4" t="inlineStr">
        <is>
          <t>CWO-09</t>
        </is>
      </c>
      <c r="G12" s="4" t="inlineStr">
        <is>
          <t>10-12</t>
        </is>
      </c>
    </row>
    <row r="13">
      <c r="A13" s="4" t="inlineStr">
        <is>
          <t>Central-West Orana Renewable Energy Zone</t>
        </is>
      </c>
      <c r="B13" s="4" t="inlineStr">
        <is>
          <t>2024-06-04</t>
        </is>
      </c>
      <c r="C13" s="4" t="inlineStr">
        <is>
          <t>Consumer Trustee authorises the Main and Enabling projects</t>
        </is>
      </c>
      <c r="D13" s="4" t="inlineStr">
        <is>
          <t>authorisation</t>
        </is>
      </c>
      <c r="E13" s="4" t="inlineStr">
        <is>
          <t>Separate notices of authorisation: ACEREZ for the Main project (initial transfer capacity 4.5 GW, synchronous condensers up to 1,750 MVA, 13 conditional H2P separable portions) and Transgrid for the Enabling project, both on the Board resolution dated 15 May 2024.</t>
        </is>
      </c>
      <c r="F13" s="4" t="inlineStr">
        <is>
          <t>CWO-10</t>
        </is>
      </c>
      <c r="G13" s="4" t="inlineStr">
        <is>
          <t>2-3</t>
        </is>
      </c>
    </row>
    <row r="14">
      <c r="A14" s="4" t="inlineStr">
        <is>
          <t>Central-West Orana Renewable Energy Zone</t>
        </is>
      </c>
      <c r="B14" s="4" t="inlineStr">
        <is>
          <t>2024-06-04</t>
        </is>
      </c>
      <c r="C14" s="4" t="inlineStr">
        <is>
          <t>Enabling project authorisation issued to Transgrid</t>
        </is>
      </c>
      <c r="D14" s="4" t="inlineStr">
        <is>
          <t>authorisation</t>
        </is>
      </c>
      <c r="E14" s="4" t="inlineStr">
        <is>
          <t>Notice of authorisation for the Enabling CWO REZ Network Infrastructure Project: Bayswater-Liddell and Mt Piper-Wallerawang 330 kV lines, Barigan Creek switching station cut-in works with remote end works, and Line 79 overcrossing works.</t>
        </is>
      </c>
      <c r="F14" s="4" t="inlineStr">
        <is>
          <t>CWO-11</t>
        </is>
      </c>
      <c r="G14" s="4" t="inlineStr">
        <is>
          <t>2-3</t>
        </is>
      </c>
    </row>
    <row r="15">
      <c r="A15" s="4" t="inlineStr">
        <is>
          <t>Central-West Orana Renewable Energy Zone</t>
        </is>
      </c>
      <c r="B15" s="4" t="inlineStr">
        <is>
          <t>2024-12-13</t>
        </is>
      </c>
      <c r="C15" s="4" t="inlineStr">
        <is>
          <t>AER makes the initial Main revenue determination</t>
        </is>
      </c>
      <c r="D15" s="4" t="inlineStr">
        <is>
          <t>regulator determination</t>
        </is>
      </c>
      <c r="E15" s="4" t="inlineStr">
        <is>
          <t>The contestable revenue determination commences; the report does not publish a total NER-equivalent capital cost.</t>
        </is>
      </c>
      <c r="F15" s="4" t="inlineStr">
        <is>
          <t>CWO-12</t>
        </is>
      </c>
      <c r="G15" s="4" t="inlineStr">
        <is>
          <t>4, 6</t>
        </is>
      </c>
    </row>
    <row r="16">
      <c r="A16" s="4" t="inlineStr">
        <is>
          <t>Central-West Orana Renewable Energy Zone</t>
        </is>
      </c>
      <c r="B16" s="4" t="inlineStr">
        <is>
          <t>2024-12</t>
        </is>
      </c>
      <c r="C16" s="4" t="inlineStr">
        <is>
          <t>NSW planning approval consolidated for the CWO REZ Transmission Project</t>
        </is>
      </c>
      <c r="D16" s="4" t="inlineStr">
        <is>
          <t>planning approval (State Significant Infrastructure)</t>
        </is>
      </c>
      <c r="E16" s="4" t="inlineStr">
        <is>
          <t>Consolidated approval under section 5.19 of the Environmental Planning and Assessment Act 1979 for SSI 48323210, proponent Energy Corporation of NSW, covering pre-construction minor works, road upgrades, construction, operation, upgrading and decommissioning of the transmission infrastructure connecting generation and storage projects in the CWO REZ to the existing network; already incorporates modification SSI-48323210-Mod-1 (determined 14 October 2024, minor administrative changes). The exact day of the December 2024 approval is not legible in the archived text derivative.</t>
        </is>
      </c>
      <c r="F16" s="4" t="inlineStr">
        <is>
          <t>CWO-27</t>
        </is>
      </c>
      <c r="G16" s="4" t="inlineStr">
        <is>
          <t>1-3</t>
        </is>
      </c>
    </row>
    <row r="17">
      <c r="A17" s="4" t="inlineStr">
        <is>
          <t>Central-West Orana Renewable Energy Zone</t>
        </is>
      </c>
      <c r="B17" s="4" t="inlineStr">
        <is>
          <t>2025-01-16</t>
        </is>
      </c>
      <c r="C17" s="4" t="inlineStr">
        <is>
          <t>EnergyCo final headroom decision</t>
        </is>
      </c>
      <c r="D17" s="4" t="inlineStr">
        <is>
          <t>infrastructure planner decision</t>
        </is>
      </c>
      <c r="E17" s="4" t="inlineStr">
        <is>
          <t>Aggregate maximum capacity cap raised from 5.84 GW to 7.7 GW on 1.86 GW of headroom at a 4.37% total transmission curtailment level.</t>
        </is>
      </c>
      <c r="F17" s="4" t="inlineStr">
        <is>
          <t>CWO-17</t>
        </is>
      </c>
      <c r="G17" s="4" t="inlineStr">
        <is>
          <t>4-5</t>
        </is>
      </c>
    </row>
    <row r="18">
      <c r="A18" s="4" t="inlineStr">
        <is>
          <t>Central-West Orana Renewable Energy Zone</t>
        </is>
      </c>
      <c r="B18" s="4" t="inlineStr">
        <is>
          <t>2025-01-17</t>
        </is>
      </c>
      <c r="C18" s="4" t="inlineStr">
        <is>
          <t>Transfer capacity determined at 4.5 GW</t>
        </is>
      </c>
      <c r="D18" s="4" t="inlineStr">
        <is>
          <t>infrastructure planner determination</t>
        </is>
      </c>
      <c r="E18" s="4" t="inlineStr">
        <is>
          <t>A determination of the transfer capacity of the access rights network has been made at 4.5 GW, as recited in the headroom decision; the determination document itself has no usable text derivative.</t>
        </is>
      </c>
      <c r="F18" s="4" t="inlineStr">
        <is>
          <t>CWO-17</t>
        </is>
      </c>
      <c r="G18" s="4" t="inlineStr">
        <is>
          <t>5</t>
        </is>
      </c>
    </row>
    <row r="19">
      <c r="A19" s="4" t="inlineStr">
        <is>
          <t>Central-West Orana Renewable Energy Zone</t>
        </is>
      </c>
      <c r="B19" s="4" t="inlineStr">
        <is>
          <t>2025-03-19</t>
        </is>
      </c>
      <c r="C19" s="4" t="inlineStr">
        <is>
          <t>Consumer Trustee resolves the initial access fee determinations</t>
        </is>
      </c>
      <c r="D19" s="4" t="inlineStr">
        <is>
          <t>Consumer Trustee determination</t>
        </is>
      </c>
      <c r="E19" s="4" t="inlineStr">
        <is>
          <t>Point-of-connection access fee determinations are made for the initial allocation; the Liverpool Range Stage 1 determination records a quarterly H2P fee of $1,524,456.88, a CSS fee of $3,090.84/MW and a 124-quarter payment term.</t>
        </is>
      </c>
      <c r="F19" s="4" t="inlineStr">
        <is>
          <t>CWO-14</t>
        </is>
      </c>
      <c r="G19" s="4" t="inlineStr">
        <is>
          <t>1, 5-6</t>
        </is>
      </c>
    </row>
    <row r="20">
      <c r="A20" s="4" t="inlineStr">
        <is>
          <t>Central-West Orana Renewable Energy Zone</t>
        </is>
      </c>
      <c r="B20" s="4" t="inlineStr">
        <is>
          <t>2025-04-16</t>
        </is>
      </c>
      <c r="C20" s="4" t="inlineStr">
        <is>
          <t>Liverpool Range Stage 2 access fee determination published</t>
        </is>
      </c>
      <c r="D20" s="4" t="inlineStr">
        <is>
          <t>Consumer Trustee determination</t>
        </is>
      </c>
      <c r="E20" s="4" t="inlineStr">
        <is>
          <t>A second point-of-connection determination for the same proponent, retained to evidence that a separate determination exists for each connection point.</t>
        </is>
      </c>
      <c r="F20" s="4" t="inlineStr">
        <is>
          <t>CWO-15</t>
        </is>
      </c>
      <c r="G20" s="4" t="inlineStr">
        <is>
          <t>1, 5</t>
        </is>
      </c>
    </row>
    <row r="21">
      <c r="A21" s="4" t="inlineStr">
        <is>
          <t>Central-West Orana Renewable Energy Zone</t>
        </is>
      </c>
      <c r="B21" s="4" t="inlineStr">
        <is>
          <t>2025-04-04</t>
        </is>
      </c>
      <c r="C21" s="4" t="inlineStr">
        <is>
          <t>Financial close of the Main project</t>
        </is>
      </c>
      <c r="D21" s="4" t="inlineStr">
        <is>
          <t>delivery milestone</t>
        </is>
      </c>
      <c r="E21" s="4" t="inlineStr">
        <is>
          <t>The Project term commenced on the date of Financial Close (4 April 2025) and ends 4 April 2060 unless extended or terminated.</t>
        </is>
      </c>
      <c r="F21" s="4" t="inlineStr">
        <is>
          <t>CWO-18</t>
        </is>
      </c>
      <c r="G21" s="4" t="inlineStr">
        <is>
          <t>12</t>
        </is>
      </c>
    </row>
    <row r="22">
      <c r="A22" s="4" t="inlineStr">
        <is>
          <t>Central-West Orana Renewable Energy Zone</t>
        </is>
      </c>
      <c r="B22" s="4" t="inlineStr">
        <is>
          <t>2025-05-08</t>
        </is>
      </c>
      <c r="C22" s="4" t="inlineStr">
        <is>
          <t>Statement of reasons for the access fee determinations published</t>
        </is>
      </c>
      <c r="D22" s="4" t="inlineStr">
        <is>
          <t>Consumer Trustee reasons</t>
        </is>
      </c>
      <c r="E22" s="4" t="inlineStr">
        <is>
          <t>Sets out the access fee formula and confirms an access fee determination has been prepared for each point of connection for each access right holder; project-specific H2P capex inputs are redacted.</t>
        </is>
      </c>
      <c r="F22" s="4" t="inlineStr">
        <is>
          <t>CWO-13</t>
        </is>
      </c>
      <c r="G22" s="4" t="inlineStr">
        <is>
          <t>7-8</t>
        </is>
      </c>
    </row>
    <row r="23">
      <c r="A23" s="4" t="inlineStr">
        <is>
          <t>Central-West Orana Renewable Energy Zone</t>
        </is>
      </c>
      <c r="B23" s="4" t="inlineStr">
        <is>
          <t>2025-06-27</t>
        </is>
      </c>
      <c r="C23" s="4" t="inlineStr">
        <is>
          <t>AER remakes the Main revenue determination</t>
        </is>
      </c>
      <c r="D23" s="4" t="inlineStr">
        <is>
          <t>regulator determination</t>
        </is>
      </c>
      <c r="E23" s="4" t="inlineStr">
        <is>
          <t>Publishes an NER-equivalent development and construction capital cost of $5,526.1m nominal, a reduction of $173.2m against the initial determination, and confirms 29 adjustment mechanisms.</t>
        </is>
      </c>
      <c r="F23" s="4" t="inlineStr">
        <is>
          <t>CWO-18</t>
        </is>
      </c>
      <c r="G23" s="4" t="inlineStr">
        <is>
          <t>38, 44</t>
        </is>
      </c>
    </row>
    <row r="24">
      <c r="A24" s="4" t="inlineStr">
        <is>
          <t>Central-West Orana Renewable Energy Zone</t>
        </is>
      </c>
      <c r="B24" s="4" t="inlineStr">
        <is>
          <t>2025-10-27</t>
        </is>
      </c>
      <c r="C24" s="4" t="inlineStr">
        <is>
          <t>ASL letter approving the Barigan Creek transfer</t>
        </is>
      </c>
      <c r="D24" s="4" t="inlineStr">
        <is>
          <t>authorisation transfer</t>
        </is>
      </c>
      <c r="E24" s="4" t="inlineStr">
        <is>
          <t>Letter dated 27 October 2025 advising that the ASL Board approved the transfer of the Barigan Creek Switching Station from ACEREZ to Transgrid; the letter states the approval date as 15 October 2024 while the AER records October 2025.</t>
        </is>
      </c>
      <c r="F24" s="4" t="inlineStr">
        <is>
          <t>CWO-19</t>
        </is>
      </c>
      <c r="G24" s="4" t="inlineStr">
        <is>
          <t>1</t>
        </is>
      </c>
    </row>
    <row r="25">
      <c r="A25" s="4" t="inlineStr">
        <is>
          <t>Central-West Orana Renewable Energy Zone</t>
        </is>
      </c>
      <c r="B25" s="4" t="inlineStr">
        <is>
          <t>2025-11-21</t>
        </is>
      </c>
      <c r="C25" s="4" t="inlineStr">
        <is>
          <t>Bannaby added to the specified REZ network infrastructure</t>
        </is>
      </c>
      <c r="D25" s="4" t="inlineStr">
        <is>
          <t>statutory amendment</t>
        </is>
      </c>
      <c r="E25" s="4" t="inlineStr">
        <is>
          <t>Gazette No 480 amends the CWO REZ declaration. The archived derivative contains no extractable body text, so the operative wording could not be verified in this pack.</t>
        </is>
      </c>
      <c r="F25" s="4" t="inlineStr">
        <is>
          <t>CWO-20</t>
        </is>
      </c>
      <c r="G25" s="4" t="inlineStr">
        <is>
          <t>2-7</t>
        </is>
      </c>
    </row>
    <row r="26">
      <c r="A26" s="4" t="inlineStr">
        <is>
          <t>Central-West Orana Renewable Energy Zone</t>
        </is>
      </c>
      <c r="B26" s="4" t="inlineStr">
        <is>
          <t>2026-01-22</t>
        </is>
      </c>
      <c r="C26" s="4" t="inlineStr">
        <is>
          <t>AER final decision on the Enabling project</t>
        </is>
      </c>
      <c r="D26" s="4" t="inlineStr">
        <is>
          <t>regulator determination</t>
        </is>
      </c>
      <c r="E26" s="4" t="inlineStr">
        <is>
          <t>Final capex of $402.8m real 2025-26 excluding equity raising costs and $406.0m including them, after excluding $8.2m of early development costs and re-profiling infrastructure planner fees; BCSS incremental expenditure is not included.</t>
        </is>
      </c>
      <c r="F26" s="4" t="inlineStr">
        <is>
          <t>CWO-21</t>
        </is>
      </c>
      <c r="G26" s="4" t="inlineStr">
        <is>
          <t>7, 50</t>
        </is>
      </c>
    </row>
    <row r="27">
      <c r="A27" s="4" t="inlineStr">
        <is>
          <t>Central-West Orana Renewable Energy Zone</t>
        </is>
      </c>
      <c r="B27" s="4" t="inlineStr">
        <is>
          <t>2026-06</t>
        </is>
      </c>
      <c r="C27" s="4" t="inlineStr">
        <is>
          <t>2026 ISP treats Main as committed and the Expansion as actionable</t>
        </is>
      </c>
      <c r="D27" s="4" t="inlineStr">
        <is>
          <t>planner</t>
        </is>
      </c>
      <c r="E27" s="4" t="inlineStr">
        <is>
          <t>Committed project: 4,500 MW, December 2028, reported cost shown as 'Committed project'. Expansion: +1,500 MW, $855m Class 5b (+/-50%), timing advised by proponent March 2033.</t>
        </is>
      </c>
      <c r="F27" s="4" t="inlineStr">
        <is>
          <t>CWO-22</t>
        </is>
      </c>
      <c r="G27" s="4" t="inlineStr">
        <is>
          <t>22-23, 56-57</t>
        </is>
      </c>
    </row>
    <row r="28">
      <c r="A28" s="4" t="inlineStr">
        <is>
          <t>HumeLink</t>
        </is>
      </c>
      <c r="B28" s="4" t="inlineStr">
        <is>
          <t>2018-07</t>
        </is>
      </c>
      <c r="C28" s="4" t="inlineStr">
        <is>
          <t>SnowyLink North identified as a predecessor concept</t>
        </is>
      </c>
      <c r="D28" s="4" t="inlineStr">
        <is>
          <t>ISP development</t>
        </is>
      </c>
      <c r="E28" s="4" t="inlineStr">
        <is>
          <t>AEMO described a new link from Tumut to Bannaby ('SnowyLink North') and associated Bannaby to Sydney West works as providing benefits from the mid-2020s, deliverable as the northern stage of a two-stage SnowyLink.</t>
        </is>
      </c>
      <c r="F28" s="4" t="inlineStr">
        <is>
          <t>HUM-AEMO-2018-ISP</t>
        </is>
      </c>
      <c r="G28" s="4" t="inlineStr">
        <is>
          <t>9, 80</t>
        </is>
      </c>
    </row>
    <row r="29">
      <c r="A29" s="4" t="inlineStr">
        <is>
          <t>HumeLink</t>
        </is>
      </c>
      <c r="B29" s="4" t="inlineStr">
        <is>
          <t>2018-07</t>
        </is>
      </c>
      <c r="C29" s="4" t="inlineStr">
        <is>
          <t>Single-circuit 500 kV loop described in the ISP appendices</t>
        </is>
      </c>
      <c r="D29" s="4" t="inlineStr">
        <is>
          <t>ISP development</t>
        </is>
      </c>
      <c r="E29" s="4" t="inlineStr">
        <is>
          <t>Appendix D listed installation of a Wagga-Bannaby-Snowy 2.0-Wagga single circuit 500 kV loop within the broader SnowyLink program. The documents do not state that all of SnowyLink later became HumeLink.</t>
        </is>
      </c>
      <c r="F29" s="4" t="inlineStr">
        <is>
          <t>HUM-AEMO-2018-ISP-APP</t>
        </is>
      </c>
      <c r="G29" s="4" t="inlineStr">
        <is>
          <t>61</t>
        </is>
      </c>
    </row>
    <row r="30">
      <c r="A30" s="4" t="inlineStr">
        <is>
          <t>HumeLink</t>
        </is>
      </c>
      <c r="B30" s="4" t="inlineStr">
        <is>
          <t>2019-06-25</t>
        </is>
      </c>
      <c r="C30" s="4" t="inlineStr">
        <is>
          <t>PSCR published, commencing the HumeLink RIT-T</t>
        </is>
      </c>
      <c r="D30" s="4" t="inlineStr">
        <is>
          <t>proponent / RIT-T stage 1</t>
        </is>
      </c>
      <c r="E30" s="4" t="inlineStr">
        <is>
          <t>Transgrid issued the Project Specification Consultation Report for reinforcing the New South Wales southern shared network to increase transfer capacity to the state's demand centres.</t>
        </is>
      </c>
      <c r="F30" s="4" t="inlineStr">
        <is>
          <t>HUM-TG-2019-PSCR</t>
        </is>
      </c>
      <c r="G30" s="4" t="inlineStr">
        <is>
          <t>1</t>
        </is>
      </c>
    </row>
    <row r="31">
      <c r="A31" s="4" t="inlineStr">
        <is>
          <t>HumeLink</t>
        </is>
      </c>
      <c r="B31" s="4" t="inlineStr">
        <is>
          <t>2020-01-15</t>
        </is>
      </c>
      <c r="C31" s="4" t="inlineStr">
        <is>
          <t>Amended PADR prefers Option 3C</t>
        </is>
      </c>
      <c r="D31" s="4" t="inlineStr">
        <is>
          <t>proponent / RIT-T stage 2</t>
        </is>
      </c>
      <c r="E31" s="4" t="inlineStr">
        <is>
          <t>Option 3C, new 500 kV route diverse lines in a loop between Maragle, Bannaby and Wagga Wagga, at approximately $1,350 million with 2,570 MW of additional generation accommodated. Route diversity was treated as an opportunity, with final diversity decisions deferred.</t>
        </is>
      </c>
      <c r="F31" s="4" t="inlineStr">
        <is>
          <t>HUM-TG-2020-PADR</t>
        </is>
      </c>
      <c r="G31" s="4" t="inlineStr">
        <is>
          <t>6, 27</t>
        </is>
      </c>
    </row>
    <row r="32">
      <c r="A32" s="4" t="inlineStr">
        <is>
          <t>HumeLink</t>
        </is>
      </c>
      <c r="B32" s="4" t="inlineStr">
        <is>
          <t>2020-07-30</t>
        </is>
      </c>
      <c r="C32" s="4" t="inlineStr">
        <is>
          <t>HumeLink made actionable in the 2020 ISP</t>
        </is>
      </c>
      <c r="D32" s="4" t="inlineStr">
        <is>
          <t>planner</t>
        </is>
      </c>
      <c r="E32" s="4" t="inlineStr">
        <is>
          <t>Approximately 630 km of upgrades, a $1,470m to $2,730m cost range with a $2,100m modelled value, 2,230-2,570 MW Tumut to Sydney transfer uplift, timed for 2025-26 across all scenarios.</t>
        </is>
      </c>
      <c r="F32" s="4" t="inlineStr">
        <is>
          <t>HUM-AEMO-2020-ISP-A3</t>
        </is>
      </c>
      <c r="G32" s="4" t="inlineStr">
        <is>
          <t>14, 29-30</t>
        </is>
      </c>
    </row>
    <row r="33">
      <c r="A33" s="4" t="inlineStr">
        <is>
          <t>HumeLink</t>
        </is>
      </c>
      <c r="B33" s="4" t="inlineStr">
        <is>
          <t>2021-07-29</t>
        </is>
      </c>
      <c r="C33" s="4" t="inlineStr">
        <is>
          <t>PACR retains Option 3C and changes all lines to double-circuit</t>
        </is>
      </c>
      <c r="D33" s="4" t="inlineStr">
        <is>
          <t>proponent / RIT-T conclusion</t>
        </is>
      </c>
      <c r="E33" s="4" t="inlineStr">
        <is>
          <t>All lines are to be constructed in a double-circuit configuration, described as a change since the PADR and a refinement of the ISP candidate option. Option 3C is $3,317m ($2020/21) with $491m weighted net benefits; variants 3C-0 ($4,253m) and 3C-1 ($3,509m) are electrically identical but physically and financially different.</t>
        </is>
      </c>
      <c r="F33" s="4" t="inlineStr">
        <is>
          <t>HUM-TG-2021-PACR</t>
        </is>
      </c>
      <c r="G33" s="4" t="inlineStr">
        <is>
          <t>2, 34, 61</t>
        </is>
      </c>
    </row>
    <row r="34">
      <c r="A34" s="4" t="inlineStr">
        <is>
          <t>HumeLink</t>
        </is>
      </c>
      <c r="B34" s="4" t="inlineStr">
        <is>
          <t>2021-08-16</t>
        </is>
      </c>
      <c r="C34" s="4" t="inlineStr">
        <is>
          <t>Wunelli lodges a RIT-T dispute notice</t>
        </is>
      </c>
      <c r="D34" s="4" t="inlineStr">
        <is>
          <t>participant allegation, not a finding</t>
        </is>
      </c>
      <c r="E34" s="4" t="inlineStr">
        <is>
          <t>Wunelli alleged the PACR failed to identify at least two distinct configurations of the preferred loop option with materially different route lengths, risks, construction costs and network benefits, and that the PACR topology figure was misleading.</t>
        </is>
      </c>
      <c r="F34" s="4" t="inlineStr">
        <is>
          <t>HUM-WUN-2021-DISPUTE</t>
        </is>
      </c>
      <c r="G34" s="4" t="inlineStr">
        <is>
          <t>1-2</t>
        </is>
      </c>
    </row>
    <row r="35">
      <c r="A35" s="4" t="inlineStr">
        <is>
          <t>HumeLink</t>
        </is>
      </c>
      <c r="B35" s="4" t="inlineStr">
        <is>
          <t>2021-09-01</t>
        </is>
      </c>
      <c r="C35" s="4" t="inlineStr">
        <is>
          <t>Transgrid answers the AER's information request</t>
        </is>
      </c>
      <c r="D35" s="4" t="inlineStr">
        <is>
          <t>proponent clarification</t>
        </is>
      </c>
      <c r="E35" s="4" t="inlineStr">
        <is>
          <t>All-double-circuit Option 3C means two circuits on one line of towers; all-single-circuit Option 3C-0 means two parallel lines of towers. Transgrid confirmed a complete double circuit configuration between all three substation locations, and stated biodiversity costs for 3C of $953m.</t>
        </is>
      </c>
      <c r="F35" s="4" t="inlineStr">
        <is>
          <t>HUM-TG-2021-RFI1</t>
        </is>
      </c>
      <c r="G35" s="4" t="inlineStr">
        <is>
          <t>2</t>
        </is>
      </c>
    </row>
    <row r="36">
      <c r="A36" s="4" t="inlineStr">
        <is>
          <t>HumeLink</t>
        </is>
      </c>
      <c r="B36" s="4" t="inlineStr">
        <is>
          <t>2021-09</t>
        </is>
      </c>
      <c r="C36" s="4" t="inlineStr">
        <is>
          <t>Route development changes announced</t>
        </is>
      </c>
      <c r="D36" s="4" t="inlineStr">
        <is>
          <t>proponent project update</t>
        </is>
      </c>
      <c r="E36" s="4" t="inlineStr">
        <is>
          <t>The proposed Book Book to Gobarralong and Maragle to Yaven Creek lines were no longer required; a new connection to the Blowering corridor was introduced through Gilmore Valley, and a new corridor option north of Tumut was to be explored.</t>
        </is>
      </c>
      <c r="F36" s="4" t="inlineStr">
        <is>
          <t>HUM-TG-2021-NEWS-SEP</t>
        </is>
      </c>
      <c r="G36" s="4" t="inlineStr">
        <is>
          <t>2</t>
        </is>
      </c>
    </row>
    <row r="37">
      <c r="A37" s="4" t="inlineStr">
        <is>
          <t>HumeLink</t>
        </is>
      </c>
      <c r="B37" s="4" t="inlineStr">
        <is>
          <t>2021-11-24</t>
        </is>
      </c>
      <c r="C37" s="4" t="inlineStr">
        <is>
          <t>AER dispute determination requires Option 1C-new</t>
        </is>
      </c>
      <c r="D37" s="4" t="inlineStr">
        <is>
          <t>regulator finding</t>
        </is>
      </c>
      <c r="E37" s="4" t="inlineStr">
        <is>
          <t>The AER determined that Transgrid did not meet the RIT-T requirements on credible options and required the PACR to be amended to include a full double circuit Maragle-Bannaby option (Option 1C-new) with costs, comparative cost-benefit analysis and sensitivities. It was satisfied other configurations of the top two options need not be assessed, and noted that materially higher route-finalised costs could constitute a material change in circumstances.</t>
        </is>
      </c>
      <c r="F37" s="4" t="inlineStr">
        <is>
          <t>HUM-AER-2021-DISPUTE-DETERMINATION</t>
        </is>
      </c>
      <c r="G37" s="4" t="inlineStr">
        <is>
          <t>5, 20, 24-26</t>
        </is>
      </c>
    </row>
    <row r="38">
      <c r="A38" s="4" t="inlineStr">
        <is>
          <t>HumeLink</t>
        </is>
      </c>
      <c r="B38" s="4" t="inlineStr">
        <is>
          <t>2021-12-17</t>
        </is>
      </c>
      <c r="C38" s="4" t="inlineStr">
        <is>
          <t>PACR addendum assesses Option 1C-new; Option 3C remains preferred</t>
        </is>
      </c>
      <c r="D38" s="4" t="inlineStr">
        <is>
          <t>proponent / RIT-T concluded</t>
        </is>
      </c>
      <c r="E38" s="4" t="inlineStr">
        <is>
          <t>Option 1C-new: a double circuit 500 kV line between Maragle and Bannaby (274 km) at approximately $2,695m including $858m biodiversity, an AACE Class 4 P50 estimate with typical accuracy of L -15% to -30% and H +20% to +50%. Weighted net benefits: 1C-new $335m, 2C $399m, 3C $491m.</t>
        </is>
      </c>
      <c r="F38" s="4" t="inlineStr">
        <is>
          <t>HUM-TG-2021-PACR-ADD</t>
        </is>
      </c>
      <c r="G38" s="4" t="inlineStr">
        <is>
          <t>5-6</t>
        </is>
      </c>
    </row>
    <row r="39">
      <c r="A39" s="4" t="inlineStr">
        <is>
          <t>HumeLink</t>
        </is>
      </c>
      <c r="B39" s="4" t="inlineStr">
        <is>
          <t>2022-01-27</t>
        </is>
      </c>
      <c r="C39" s="4" t="inlineStr">
        <is>
          <t>AEMO confirms the early works feedback loop</t>
        </is>
      </c>
      <c r="D39" s="4" t="inlineStr">
        <is>
          <t>planner confirmation</t>
        </is>
      </c>
      <c r="E39" s="4" t="inlineStr">
        <is>
          <t>Assessed on a project cost estimate of $3,317 million including $330 million for early works in real 2020-21 dollars, equivalent to $3.28 billion and $327.6 million in real 2017-18 dollars.</t>
        </is>
      </c>
      <c r="F39" s="4" t="inlineStr">
        <is>
          <t>HUM-AEMO-2022-FL1</t>
        </is>
      </c>
      <c r="G39" s="4" t="inlineStr">
        <is>
          <t>1-2</t>
        </is>
      </c>
    </row>
    <row r="40">
      <c r="A40" s="4" t="inlineStr">
        <is>
          <t>HumeLink</t>
        </is>
      </c>
      <c r="B40" s="4" t="inlineStr">
        <is>
          <t>2022-04-05</t>
        </is>
      </c>
      <c r="C40" s="4" t="inlineStr">
        <is>
          <t>Stage 1 (early works) contingent project application</t>
        </is>
      </c>
      <c r="D40" s="4" t="inlineStr">
        <is>
          <t>application</t>
        </is>
      </c>
      <c r="E40" s="4" t="inlineStr">
        <is>
          <t>Transgrid defined early works as pre-construction activities that keep open the option to continue, defer or cancel, covering design, project initiation, cost estimation, land-use planning and stakeholder engagement, and proposed $321.9 million ($2017-18).</t>
        </is>
      </c>
      <c r="F40" s="4" t="inlineStr">
        <is>
          <t>HUM-TG-2022-CPA1-SCOPE</t>
        </is>
      </c>
      <c r="G40" s="4" t="inlineStr">
        <is>
          <t>6-7</t>
        </is>
      </c>
    </row>
    <row r="41">
      <c r="A41" s="4" t="inlineStr">
        <is>
          <t>HumeLink</t>
        </is>
      </c>
      <c r="B41" s="4" t="inlineStr">
        <is>
          <t>2022-06-30</t>
        </is>
      </c>
      <c r="C41" s="4" t="inlineStr">
        <is>
          <t>2022 ISP restates HumeLink as a staged actionable project</t>
        </is>
      </c>
      <c r="D41" s="4" t="inlineStr">
        <is>
          <t>planner</t>
        </is>
      </c>
      <c r="E41" s="4" t="inlineStr">
        <is>
          <t>Cost estimates of $330 million (stage 1) and $2,985 million (stage 2), delivery July 2026, with HumeLink contributing roughly $1.3 billion of the $24.5 billion in ODP net market benefits.</t>
        </is>
      </c>
      <c r="F41" s="4" t="inlineStr">
        <is>
          <t>HUM-AEMO-2022-ISP</t>
        </is>
      </c>
      <c r="G41" s="4" t="inlineStr">
        <is>
          <t>67-68</t>
        </is>
      </c>
    </row>
    <row r="42">
      <c r="A42" s="4" t="inlineStr">
        <is>
          <t>HumeLink</t>
        </is>
      </c>
      <c r="B42" s="4" t="inlineStr">
        <is>
          <t>2022-08-17</t>
        </is>
      </c>
      <c r="C42" s="4" t="inlineStr">
        <is>
          <t>AER Stage 1 (Part 1) determination</t>
        </is>
      </c>
      <c r="D42" s="4" t="inlineStr">
        <is>
          <t>regulator determination</t>
        </is>
      </c>
      <c r="E42" s="4" t="inlineStr">
        <is>
          <t>The AER accepted $321.9 million ($2017-18) forecast capex for early works and separately determined $71.4 million ($ nominal) of incremental revenue over 2023-28, noting the capex sits within AEMO's $327.6 million feedback-loop confirmation.</t>
        </is>
      </c>
      <c r="F42" s="4" t="inlineStr">
        <is>
          <t>HUM-AER-2022-CPA1P1</t>
        </is>
      </c>
      <c r="G42" s="4" t="inlineStr">
        <is>
          <t>4, 18-19, 24</t>
        </is>
      </c>
    </row>
    <row r="43">
      <c r="A43" s="4" t="inlineStr">
        <is>
          <t>HumeLink</t>
        </is>
      </c>
      <c r="B43" s="4" t="inlineStr">
        <is>
          <t>2023-05-19</t>
        </is>
      </c>
      <c r="C43" s="4" t="inlineStr">
        <is>
          <t>AEMO confirms the expanded early works feedback loop</t>
        </is>
      </c>
      <c r="D43" s="4" t="inlineStr">
        <is>
          <t>planner confirmation</t>
        </is>
      </c>
      <c r="E43" s="4" t="inlineStr">
        <is>
          <t>Long lead equipment of up to $209.6 million was added to early works, taking total early works to $531.5 million in real 2017-18 dollars, while AEMO recorded that the cost estimate for the entire project remained unchanged at $3.32 billion.</t>
        </is>
      </c>
      <c r="F43" s="4" t="inlineStr">
        <is>
          <t>HUM-AEMO-2023-FL2</t>
        </is>
      </c>
      <c r="G43" s="4" t="inlineStr">
        <is>
          <t>2-3</t>
        </is>
      </c>
    </row>
    <row r="44">
      <c r="A44" s="4" t="inlineStr">
        <is>
          <t>HumeLink</t>
        </is>
      </c>
      <c r="B44" s="4" t="inlineStr">
        <is>
          <t>2023-08-25</t>
        </is>
      </c>
      <c r="C44" s="4" t="inlineStr">
        <is>
          <t>AER Stage 1 (Part 2) determination</t>
        </is>
      </c>
      <c r="D44" s="4" t="inlineStr">
        <is>
          <t>regulator determination</t>
        </is>
      </c>
      <c r="E44" s="4" t="inlineStr">
        <is>
          <t>Against a $226.7 million ($2022-23) proposal for long lead equipment the AER made a final decision of $227.9 million, describing HumeLink as an estimated $3.9 billion ($2022-23) update involving 360 km of new 500 kV lines.</t>
        </is>
      </c>
      <c r="F44" s="4" t="inlineStr">
        <is>
          <t>HUM-AER-2023-CPA1P2</t>
        </is>
      </c>
      <c r="G44" s="4" t="inlineStr">
        <is>
          <t>3-4, 8-10</t>
        </is>
      </c>
    </row>
    <row r="45">
      <c r="A45" s="4" t="inlineStr">
        <is>
          <t>HumeLink</t>
        </is>
      </c>
      <c r="B45" s="4" t="inlineStr">
        <is>
          <t>2023-12-21</t>
        </is>
      </c>
      <c r="C45" s="4" t="inlineStr">
        <is>
          <t>AEMO confirms the full-project feedback loop</t>
        </is>
      </c>
      <c r="D45" s="4" t="inlineStr">
        <is>
          <t>planner confirmation</t>
        </is>
      </c>
      <c r="E45" s="4" t="inlineStr">
        <is>
          <t>Total project cost $4.88 billion ($2022-23), comprising $4.28 billion for delivery and $0.6 billion for already-approved early works and excluding $33.14 million of equity raising costs, with the Northern Circuit at July 2026 and the Southern Circuit at December 2026.</t>
        </is>
      </c>
      <c r="F45" s="4" t="inlineStr">
        <is>
          <t>HUM-AEMO-2023-FL3</t>
        </is>
      </c>
      <c r="G45" s="4" t="inlineStr">
        <is>
          <t>2</t>
        </is>
      </c>
    </row>
    <row r="46">
      <c r="A46" s="4" t="inlineStr">
        <is>
          <t>HumeLink</t>
        </is>
      </c>
      <c r="B46" s="4" t="inlineStr">
        <is>
          <t>2023-12-22</t>
        </is>
      </c>
      <c r="C46" s="4" t="inlineStr">
        <is>
          <t>Stage 2 (delivery) contingent project application submitted</t>
        </is>
      </c>
      <c r="D46" s="4" t="inlineStr">
        <is>
          <t>application</t>
        </is>
      </c>
      <c r="E46" s="4" t="inlineStr">
        <is>
          <t>Transgrid sought $4,279.14 million ($2022-23) of Stage 2 forecast capex excluding equity raising costs, incremental to Stage 1, delivered through East and West contract packages divided at an interface point.</t>
        </is>
      </c>
      <c r="F46" s="4" t="inlineStr">
        <is>
          <t>HUM-TG-2024-CPA2</t>
        </is>
      </c>
      <c r="G46" s="4" t="inlineStr">
        <is>
          <t>15-17, 46, 49</t>
        </is>
      </c>
    </row>
    <row r="47">
      <c r="A47" s="4" t="inlineStr">
        <is>
          <t>HumeLink</t>
        </is>
      </c>
      <c r="B47" s="4" t="inlineStr">
        <is>
          <t>2024-02-29</t>
        </is>
      </c>
      <c r="C47" s="4" t="inlineStr">
        <is>
          <t>Transgrid material change in circumstance assessment</t>
        </is>
      </c>
      <c r="D47" s="4" t="inlineStr">
        <is>
          <t>proponent opinion</t>
        </is>
      </c>
      <c r="E47" s="4" t="inlineStr">
        <is>
          <t>Transgrid converted the PACR addendum estimate of $3.27 billion (June 2021 dollars) to $3,820 million (June 2023 dollars) and compared it with $4,881 million, a 28 per cent or $1.06 billion increase, with maturity moving from AACE Class 4 to Class 2-3. It concluded that Option 3C remained preferred and that no MCC event had occurred.</t>
        </is>
      </c>
      <c r="F47" s="4" t="inlineStr">
        <is>
          <t>HUM-TG-2024-MCCA</t>
        </is>
      </c>
      <c r="G47" s="4" t="inlineStr">
        <is>
          <t>2, 11, 16, 35</t>
        </is>
      </c>
    </row>
    <row r="48">
      <c r="A48" s="4" t="inlineStr">
        <is>
          <t>HumeLink</t>
        </is>
      </c>
      <c r="B48" s="4" t="inlineStr">
        <is>
          <t>2024-06</t>
        </is>
      </c>
      <c r="C48" s="4" t="inlineStr">
        <is>
          <t>2024 ISP represents HumeLink as an actionable project</t>
        </is>
      </c>
      <c r="D48" s="4" t="inlineStr">
        <is>
          <t>planner</t>
        </is>
      </c>
      <c r="E48" s="4" t="inlineStr">
        <is>
          <t>Expected cost $4,892 million (June 2023 dollars), Class 3 (-5% to +12%), 2,200 MW in both directions, with the circuits built on double circuit transmission structures and proponent timing of July 2026 and December 2026.</t>
        </is>
      </c>
      <c r="F48" s="4" t="inlineStr">
        <is>
          <t>HUM-AEMO-2024-ISP-A5</t>
        </is>
      </c>
      <c r="G48" s="4" t="inlineStr">
        <is>
          <t>21-22</t>
        </is>
      </c>
    </row>
    <row r="49">
      <c r="A49" s="4" t="inlineStr">
        <is>
          <t>HumeLink</t>
        </is>
      </c>
      <c r="B49" s="4" t="inlineStr">
        <is>
          <t>2024-07-08</t>
        </is>
      </c>
      <c r="C49" s="4" t="inlineStr">
        <is>
          <t>AEMO reconfirms the feedback loop against the final 2024 ISP</t>
        </is>
      </c>
      <c r="D49" s="4" t="inlineStr">
        <is>
          <t>planner confirmation</t>
        </is>
      </c>
      <c r="E49" s="4" t="inlineStr">
        <is>
          <t>Transgrid requested a fourth feedback loop noting that total cost, scope and timing were unchanged since feedback loop 3.</t>
        </is>
      </c>
      <c r="F49" s="4" t="inlineStr">
        <is>
          <t>HUM-AEMO-2024-FL4</t>
        </is>
      </c>
      <c r="G49" s="4" t="inlineStr">
        <is>
          <t>2</t>
        </is>
      </c>
    </row>
    <row r="50">
      <c r="A50" s="4" t="inlineStr">
        <is>
          <t>HumeLink</t>
        </is>
      </c>
      <c r="B50" s="4" t="inlineStr">
        <is>
          <t>2024-08-02</t>
        </is>
      </c>
      <c r="C50" s="4" t="inlineStr">
        <is>
          <t>AER Stage 2 determination</t>
        </is>
      </c>
      <c r="D50" s="4" t="inlineStr">
        <is>
          <t>regulator determination</t>
        </is>
      </c>
      <c r="E50" s="4" t="inlineStr">
        <is>
          <t>The AER found Transgrid's no-MCC opinion not unreasonable while substituting forecast capex of $3,964.8 million for the $4,279.1 million proposed, and determined $4,573.5 million across all stages, real 2022-23 and excluding equity raising costs. Its independent modelling produced $1.523 billion of net benefits for Option 3C against Transgrid's $4.186 billion.</t>
        </is>
      </c>
      <c r="F50" s="4" t="inlineStr">
        <is>
          <t>HUM-AER-2024-CPA2</t>
        </is>
      </c>
      <c r="G50" s="4" t="inlineStr">
        <is>
          <t>4, 28-29, 33-34</t>
        </is>
      </c>
    </row>
    <row r="51">
      <c r="A51" s="4" t="inlineStr">
        <is>
          <t>HumeLink</t>
        </is>
      </c>
      <c r="B51" s="4" t="inlineStr">
        <is>
          <t>2024-10</t>
        </is>
      </c>
      <c r="C51" s="4" t="inlineStr">
        <is>
          <t>NSW planning assessment report finalised</t>
        </is>
      </c>
      <c r="D51" s="4" t="inlineStr">
        <is>
          <t>planning assessment</t>
        </is>
      </c>
      <c r="E51" s="4" t="inlineStr">
        <is>
          <t>The Department's assessment report describes the project as around 365 km of new double circuit 500 kV lines with modified substations at Wagga Wagga and Bannaby, the Maragle substation then under construction and a new 500/330 kV substation at Gregadoo, and records a capital investment value of $4.8 billion with construction proposed to be completed by 2026.</t>
        </is>
      </c>
      <c r="F51" s="4" t="inlineStr">
        <is>
          <t>HUM-NSW-2024-ASSESSMENT</t>
        </is>
      </c>
      <c r="G51" s="4" t="inlineStr">
        <is>
          <t>4</t>
        </is>
      </c>
    </row>
    <row r="52">
      <c r="A52" s="4" t="inlineStr">
        <is>
          <t>HumeLink</t>
        </is>
      </c>
      <c r="B52" s="4" t="inlineStr">
        <is>
          <t>2024-11-13</t>
        </is>
      </c>
      <c r="C52" s="4" t="inlineStr">
        <is>
          <t>NSW critical State significant infrastructure approval</t>
        </is>
      </c>
      <c r="D52" s="4" t="inlineStr">
        <is>
          <t>planning approval</t>
        </is>
      </c>
      <c r="E52" s="4" t="inlineStr">
        <is>
          <t>The Minister approved around 365 km of new double circuit 500 kV transmission lines between Wagga Wagga, Bannaby and Maragle, the new Gugaa 500/330 kV substation at Gregadoo, a roughly 2 km rebuild of Line 51 as double circuit 330 kV and augmentation of the Wagga and Bannaby substations, citing a $4.8 billion capital investment.</t>
        </is>
      </c>
      <c r="F52" s="4" t="inlineStr">
        <is>
          <t>HUM-NSW-2024-DECISION</t>
        </is>
      </c>
      <c r="G52" s="4" t="inlineStr">
        <is>
          <t>1, 3</t>
        </is>
      </c>
    </row>
    <row r="53">
      <c r="A53" s="4" t="inlineStr">
        <is>
          <t>HumeLink</t>
        </is>
      </c>
      <c r="B53" s="4" t="inlineStr">
        <is>
          <t>2026-06</t>
        </is>
      </c>
      <c r="C53" s="4" t="inlineStr">
        <is>
          <t>2026 ISP lists HumeLink as committed</t>
        </is>
      </c>
      <c r="D53" s="4" t="inlineStr">
        <is>
          <t>current planner evidence</t>
        </is>
      </c>
      <c r="E53" s="4" t="inlineStr">
        <is>
          <t>Expected completion December 2027, transfer capability between SNSW and CNSW increasing by 2,200 MW in both directions, with three new 500 kV circuits, a Gugaa-Wagga Wagga 500 kV double-circuit line initially operated at 330 kV, five 1,500 MVA transformers, line shunt reactors and substation augmentations. HumeLink moving from actionable to committed removed 365 km from the actionable total.</t>
        </is>
      </c>
      <c r="F53" s="4" t="inlineStr">
        <is>
          <t>HUM-AEMO-2026-ISP-A5</t>
        </is>
      </c>
      <c r="G53" s="4" t="inlineStr">
        <is>
          <t>12, 18-19</t>
        </is>
      </c>
    </row>
    <row r="54">
      <c r="A54" s="4" t="inlineStr">
        <is>
          <t>HumeLink</t>
        </is>
      </c>
      <c r="B54" s="4" t="inlineStr">
        <is>
          <t>2026-06</t>
        </is>
      </c>
      <c r="C54" s="4" t="inlineStr">
        <is>
          <t>Switching Station Near Wondalga made actionable</t>
        </is>
      </c>
      <c r="D54" s="4" t="inlineStr">
        <is>
          <t>separate actionable project</t>
        </is>
      </c>
      <c r="E54" s="4" t="inlineStr">
        <is>
          <t>A switching station at the Y-point connecting the three 500 kV HumeLink lines plus four line reactors, 450 MW forward and reverse, $220 million Class 5b (±50%), proponent timing April 2031, with HumeLink named as the prerequisite and a PADR due by 30 April 2028.</t>
        </is>
      </c>
      <c r="F54" s="4" t="inlineStr">
        <is>
          <t>HUM-AEMO-2026-ISP-A5</t>
        </is>
      </c>
      <c r="G54" s="4" t="inlineStr">
        <is>
          <t>47-48</t>
        </is>
      </c>
    </row>
    <row r="55">
      <c r="A55" s="4" t="inlineStr">
        <is>
          <t>HumeLink</t>
        </is>
      </c>
      <c r="B55" s="4" t="inlineStr">
        <is>
          <t>2025-10</t>
        </is>
      </c>
      <c r="C55" s="4" t="inlineStr">
        <is>
          <t>HumeLink West Quarterly Newsletter published</t>
        </is>
      </c>
      <c r="D55" s="4" t="inlineStr">
        <is>
          <t>proponent-reported construction progress</t>
        </is>
      </c>
      <c r="E55" s="4" t="inlineStr">
        <is>
          <t>Transgrid reports the first HumeLink transmission towers about to be erected on the 140 km HumeLink West section (Wagga Wagga to Maragle), with roughly 70 access points and the first third of about 300 km of access tracks built, bulk civil earthworks underway or nearing completion at the Maragle, Gugaa and Wagga Wagga substation sites, and laydown yards established. States the project is on track for completion in late 2027 and to generate up to 1,600 jobs and $6.3 billion of direct and indirect regional economic investment (a benefit/economic-impact measure, not a capital cost).</t>
        </is>
      </c>
      <c r="F55" s="4" t="inlineStr">
        <is>
          <t>HUM-TG-2025-WEST-NEWS-OCT</t>
        </is>
      </c>
      <c r="G55" s="4" t="inlineStr">
        <is>
          <t>1</t>
        </is>
      </c>
    </row>
    <row r="56">
      <c r="A56" s="4" t="inlineStr">
        <is>
          <t>Hunter Transmission Project</t>
        </is>
      </c>
      <c r="B56" s="4" t="inlineStr">
        <is>
          <t>2022-06</t>
        </is>
      </c>
      <c r="C56" s="4" t="inlineStr">
        <is>
          <t>Northern Sydney Ring named the Hunter Transmission Project</t>
        </is>
      </c>
      <c r="D56" s="4" t="inlineStr">
        <is>
          <t>Actionable New South Wales project</t>
        </is>
      </c>
      <c r="E56" s="4" t="inlineStr">
        <is>
          <t>AEMO's 2022 ISP records that the northern part of the Sydney Ring is named the Hunter Transmission Project and may include the Waratah Super Battery and related upgrades, progressing under the Electricity Infrastructure Investment Act 2020 (NSW).</t>
        </is>
      </c>
      <c r="F56" s="4" t="inlineStr">
        <is>
          <t>HUM-AEMO-2022-ISP</t>
        </is>
      </c>
      <c r="G56" s="4" t="inlineStr">
        <is>
          <t>70</t>
        </is>
      </c>
    </row>
    <row r="57">
      <c r="A57" s="4" t="inlineStr">
        <is>
          <t>Hunter Transmission Project</t>
        </is>
      </c>
      <c r="B57" s="4" t="inlineStr">
        <is>
          <t>2022-12-09</t>
        </is>
      </c>
      <c r="C57" s="4" t="inlineStr">
        <is>
          <t>Hunter-Central Coast REZ declared</t>
        </is>
      </c>
      <c r="D57" s="4" t="inlineStr">
        <is>
          <t>Related REZ declaration</t>
        </is>
      </c>
      <c r="E57" s="4" t="inlineStr">
        <is>
          <t>NSW Government Gazette No 569 published the Renewable Energy Zone (Hunter-Central Coast) Order 2022, declaring the HCC REZ, its specified geographical area and network infrastructure, with an intended network capacity of one gigawatt. This is the REZ within which HTP sits; the gazette does not declare, authorise or name HTP itself.</t>
        </is>
      </c>
      <c r="F57" s="4" t="inlineStr">
        <is>
          <t>HTP-NSWGOV-2022-GAZETTE-569</t>
        </is>
      </c>
      <c r="G57" s="4" t="inlineStr">
        <is>
          <t>7</t>
        </is>
      </c>
    </row>
    <row r="58">
      <c r="A58" s="4" t="inlineStr">
        <is>
          <t>Hunter Transmission Project</t>
        </is>
      </c>
      <c r="B58" s="4" t="inlineStr">
        <is>
          <t>2023-05</t>
        </is>
      </c>
      <c r="C58" s="4" t="inlineStr">
        <is>
          <t>NSW Network Infrastructure Strategy published</t>
        </is>
      </c>
      <c r="D58" s="4" t="inlineStr">
        <is>
          <t>Strategy / Deliver Now project</t>
        </is>
      </c>
      <c r="E58" s="4" t="inlineStr">
        <is>
          <t>EnergyCo scopes HTP Stage 1 as a 500 kV double circuit from Bayswater to Eraring providing 5 GW of downstream capacity, scheduled for mid-2027 at approximately $1 billion, with a possible Stage 2 after 2033 adding 6 GW at up to $1.8 billion.</t>
        </is>
      </c>
      <c r="F58" s="4" t="inlineStr">
        <is>
          <t>CWO-04</t>
        </is>
      </c>
      <c r="G58" s="4" t="inlineStr">
        <is>
          <t>46-47</t>
        </is>
      </c>
    </row>
    <row r="59">
      <c r="A59" s="4" t="inlineStr">
        <is>
          <t>Hunter Transmission Project</t>
        </is>
      </c>
      <c r="B59" s="4" t="inlineStr">
        <is>
          <t>2024-06</t>
        </is>
      </c>
      <c r="C59" s="4" t="inlineStr">
        <is>
          <t>2024 ISP representation</t>
        </is>
      </c>
      <c r="D59" s="4" t="inlineStr">
        <is>
          <t>Actionable NSW project</t>
        </is>
      </c>
      <c r="E59" s="4" t="inlineStr">
        <is>
          <t>AEMO reports Option 1 at $1,099 million (±50%), 5,000 MW additional network capacity, timing advised by proponent December 2028, and notes HTP should be considered when Central West Orana REZ exceeds 3 GW.</t>
        </is>
      </c>
      <c r="F59" s="4" t="inlineStr">
        <is>
          <t>HUM-AEMO-2024-ISP-A5</t>
        </is>
      </c>
      <c r="G59" s="4" t="inlineStr">
        <is>
          <t>23-24</t>
        </is>
      </c>
    </row>
    <row r="60">
      <c r="A60" s="4" t="inlineStr">
        <is>
          <t>Hunter Transmission Project</t>
        </is>
      </c>
      <c r="B60" s="4" t="inlineStr">
        <is>
          <t>2026-06</t>
        </is>
      </c>
      <c r="C60" s="4" t="inlineStr">
        <is>
          <t>2026 ISP representation</t>
        </is>
      </c>
      <c r="D60" s="4" t="inlineStr">
        <is>
          <t>Actionable New South Wales project; NSW independent assessment phase</t>
        </is>
      </c>
      <c r="E60" s="4" t="inlineStr">
        <is>
          <t>AEMO reports CNSW-SNW Option 1 at $1,364 million Class 5b (±50%), forward 5,000 MW (REZ N10: 2,000 MW), timing advised by proponent November 2029, and states construction is expected to start in late 2026 if the project is approved.</t>
        </is>
      </c>
      <c r="F60" s="4" t="inlineStr">
        <is>
          <t>HUM-AEMO-2026-ISP-A5</t>
        </is>
      </c>
      <c r="G60" s="4" t="inlineStr">
        <is>
          <t>38-39</t>
        </is>
      </c>
    </row>
    <row r="61">
      <c r="A61" s="4" t="inlineStr">
        <is>
          <t>Hunter Transmission Project</t>
        </is>
      </c>
      <c r="B61" s="4" t="inlineStr">
        <is>
          <t>2025-12</t>
        </is>
      </c>
      <c r="C61" s="4" t="inlineStr">
        <is>
          <t>AER final decision on Ausgrid's Hunter-Central Coast REZ non-contestable revenue</t>
        </is>
      </c>
      <c r="D61" s="4" t="inlineStr">
        <is>
          <t>Related REZ regulatory decision</t>
        </is>
      </c>
      <c r="E61" s="4" t="inlineStr">
        <is>
          <t>AER determined Ausgrid can recover $189.6 million ($ nominal) for 2026-31 for the Hunter-Central Coast REZ non-contestable network infrastructure project, covering distribution-level works at Muswellbrook, Singleton to Kurri, and a new Antiene switching station. This is a related REZ project's revenue determination, not an HTP cost; neither the Hunter Transmission Project nor HTP is named anywhere in this decision.</t>
        </is>
      </c>
      <c r="F61" s="4" t="inlineStr">
        <is>
          <t>HTP-AER-2025-FINALDECISION</t>
        </is>
      </c>
      <c r="G61" s="4" t="inlineStr">
        <is>
          <t>7, 9</t>
        </is>
      </c>
    </row>
    <row r="62">
      <c r="A62" s="4" t="inlineStr">
        <is>
          <t>Hunter Transmission Project</t>
        </is>
      </c>
      <c r="B62" s="4" t="inlineStr">
        <is>
          <t>2026-09-03</t>
        </is>
      </c>
      <c r="C62" s="4" t="inlineStr">
        <is>
          <t>EnergyCo, NSW planning and WSB acquisition attempts failed</t>
        </is>
      </c>
      <c r="D62" s="4" t="inlineStr">
        <is>
          <t>Unavailable</t>
        </is>
      </c>
      <c r="E62" s="4" t="inlineStr">
        <is>
          <t>Six publication targets were attempted over two distinct official routes each; EnergyCo project and infrastructure pages returned HTTP 403 and the assessment, planning/EIS, authorisation and WSB/SIPS targets returned HTTP 404. No project-local capture exists.</t>
        </is>
      </c>
      <c r="F62" s="4" t="inlineStr"/>
      <c r="G62" s="4" t="inlineStr"/>
    </row>
    <row r="63">
      <c r="A63" s="4" t="inlineStr">
        <is>
          <t>Project Marinus</t>
        </is>
      </c>
      <c r="B63" s="4" t="inlineStr">
        <is>
          <t>2021-06</t>
        </is>
      </c>
      <c r="C63" s="4" t="inlineStr">
        <is>
          <t>PACR preferred option</t>
        </is>
      </c>
      <c r="D63" s="4" t="inlineStr">
        <is>
          <t>decision</t>
        </is>
      </c>
      <c r="E63" s="4" t="inlineStr">
        <is>
          <t>TasNetworks preferred 1,500 MW in two 750 MW stages; expected cost $3,481m in 2020 dollars.</t>
        </is>
      </c>
      <c r="F63" s="4" t="inlineStr">
        <is>
          <t>ML-TN-2021-PACR</t>
        </is>
      </c>
      <c r="G63" s="4" t="inlineStr">
        <is>
          <t>10, 16-17, 77</t>
        </is>
      </c>
    </row>
    <row r="64">
      <c r="A64" s="4" t="inlineStr">
        <is>
          <t>Project Marinus</t>
        </is>
      </c>
      <c r="B64" s="4" t="inlineStr">
        <is>
          <t>2024-03-28</t>
        </is>
      </c>
      <c r="C64" s="4" t="inlineStr">
        <is>
          <t>EY gross benefits report for the 2024 RIT-T update</t>
        </is>
      </c>
      <c r="D64" s="4" t="inlineStr">
        <is>
          <t>proponent adviser modelling</t>
        </is>
      </c>
      <c r="E64" s="4" t="inlineStr">
        <is>
          <t>EY modelled gross market benefits following the June 2021 PACR. The underlying proponent RIT-T update report itself is not archived; this report is retained as modelling evidence only.</t>
        </is>
      </c>
      <c r="F64" s="4" t="inlineStr">
        <is>
          <t>ML-EY-2024-RITT</t>
        </is>
      </c>
      <c r="G64" s="4" t="inlineStr">
        <is>
          <t>5</t>
        </is>
      </c>
    </row>
    <row r="65">
      <c r="A65" s="4" t="inlineStr">
        <is>
          <t>Project Marinus</t>
        </is>
      </c>
      <c r="B65" s="4" t="inlineStr">
        <is>
          <t>2024-06</t>
        </is>
      </c>
      <c r="C65" s="4" t="inlineStr">
        <is>
          <t>AEMO 2024 actionable project representation</t>
        </is>
      </c>
      <c r="D65" s="4" t="inlineStr">
        <is>
          <t>planner</t>
        </is>
      </c>
      <c r="E65" s="4" t="inlineStr">
        <is>
          <t>Stage-specific scope, cost and Class 4 uncertainty published; Stage 2 proponent timing December 2032.</t>
        </is>
      </c>
      <c r="F65" s="4" t="inlineStr">
        <is>
          <t>HUM-AEMO-2024-ISP-A5</t>
        </is>
      </c>
      <c r="G65" s="4" t="inlineStr">
        <is>
          <t>37</t>
        </is>
      </c>
    </row>
    <row r="66">
      <c r="A66" s="4" t="inlineStr">
        <is>
          <t>Project Marinus</t>
        </is>
      </c>
      <c r="B66" s="4" t="inlineStr">
        <is>
          <t>2025-07</t>
        </is>
      </c>
      <c r="C66" s="4" t="inlineStr">
        <is>
          <t>TasNetworks RIT-T update</t>
        </is>
      </c>
      <c r="D66" s="4" t="inlineStr">
        <is>
          <t>proponent</t>
        </is>
      </c>
      <c r="E66" s="4" t="inlineStr">
        <is>
          <t>Preferred option retained; first cable as soon as practicable, second timing under review; June-2023 price costs published.</t>
        </is>
      </c>
      <c r="F66" s="4" t="inlineStr">
        <is>
          <t>ML-TN-2025-RITT</t>
        </is>
      </c>
      <c r="G66" s="4" t="inlineStr">
        <is>
          <t>5, 18, 20</t>
        </is>
      </c>
    </row>
    <row r="67">
      <c r="A67" s="4" t="inlineStr">
        <is>
          <t>Project Marinus</t>
        </is>
      </c>
      <c r="B67" s="4" t="inlineStr">
        <is>
          <t>2025-08-01</t>
        </is>
      </c>
      <c r="C67" s="4" t="inlineStr">
        <is>
          <t>Government FID reported by AEMO</t>
        </is>
      </c>
      <c r="D67" s="4" t="inlineStr">
        <is>
          <t>reported, primary instrument unavailable</t>
        </is>
      </c>
      <c r="E67" s="4" t="inlineStr">
        <is>
          <t>AEMO reports the FID; operative decision/funding instrument was not captured.</t>
        </is>
      </c>
      <c r="F67" s="4" t="inlineStr">
        <is>
          <t>HUM-AEMO-2026-ISP-A5</t>
        </is>
      </c>
      <c r="G67" s="4" t="inlineStr">
        <is>
          <t>26-27</t>
        </is>
      </c>
    </row>
    <row r="68">
      <c r="A68" s="4" t="inlineStr">
        <is>
          <t>Project Marinus</t>
        </is>
      </c>
      <c r="B68" s="4" t="inlineStr">
        <is>
          <t>2025-09-03</t>
        </is>
      </c>
      <c r="C68" s="4" t="inlineStr">
        <is>
          <t>Marinus Link Stage 1 financial close</t>
        </is>
      </c>
      <c r="D68" s="4" t="inlineStr">
        <is>
          <t>reported, joint ministerial media release</t>
        </is>
      </c>
      <c r="E68" s="4" t="inlineStr">
        <is>
          <t>Financial close reached for Stage 1, securing $3.8bn CEFC funding alongside Commonwealth, Tasmanian and Victorian equity commitments confirmed in August 2025. Stage 1 (750 MW) construction slated to commence 2026 and complete 2030.</t>
        </is>
      </c>
      <c r="F68" s="4" t="inlineStr">
        <is>
          <t>ML-DCCEEW-2025-FID</t>
        </is>
      </c>
      <c r="G68" s="4" t="inlineStr">
        <is>
          <t>web</t>
        </is>
      </c>
    </row>
    <row r="69">
      <c r="A69" s="4" t="inlineStr">
        <is>
          <t>Project Marinus</t>
        </is>
      </c>
      <c r="B69" s="4" t="inlineStr">
        <is>
          <t>2025-10-31</t>
        </is>
      </c>
      <c r="C69" s="4" t="inlineStr">
        <is>
          <t>EY gross market benefit addendum</t>
        </is>
      </c>
      <c r="D69" s="4" t="inlineStr">
        <is>
          <t>proponent adviser modelling</t>
        </is>
      </c>
      <c r="E69" s="4" t="inlineStr">
        <is>
          <t>Addendum to the 4 September 2025 report; forecasts gross market benefits of Stage 1 (2030) and Stage 2 (2034) over 1 July 2026 to 30 June 2051.</t>
        </is>
      </c>
      <c r="F69" s="4" t="inlineStr">
        <is>
          <t>ML-EY-2025-ADD</t>
        </is>
      </c>
      <c r="G69" s="4" t="inlineStr">
        <is>
          <t>4-5</t>
        </is>
      </c>
    </row>
    <row r="70">
      <c r="A70" s="4" t="inlineStr">
        <is>
          <t>Project Marinus</t>
        </is>
      </c>
      <c r="B70" s="4" t="inlineStr">
        <is>
          <t>2026-06</t>
        </is>
      </c>
      <c r="C70" s="4" t="inlineStr">
        <is>
          <t>AEMO 2026 ISP representation</t>
        </is>
      </c>
      <c r="D70" s="4" t="inlineStr">
        <is>
          <t>current planner evidence</t>
        </is>
      </c>
      <c r="E70" s="4" t="inlineStr">
        <is>
          <t>Stage 1 anticipated for December 2030; Stage 2 actionable with proponent timing December 2034.</t>
        </is>
      </c>
      <c r="F70" s="4" t="inlineStr">
        <is>
          <t>HUM-AEMO-2026-ISP-A5</t>
        </is>
      </c>
      <c r="G70" s="4" t="inlineStr">
        <is>
          <t>26-27, 58-59</t>
        </is>
      </c>
    </row>
    <row r="71">
      <c r="A71" s="4" t="inlineStr">
        <is>
          <t>Project Marinus</t>
        </is>
      </c>
      <c r="B71" s="4" t="inlineStr">
        <is>
          <t>2025-12-17</t>
        </is>
      </c>
      <c r="C71" s="4" t="inlineStr">
        <is>
          <t>TasVic Greenlink awarded Stage 1 civils and construction contract</t>
        </is>
      </c>
      <c r="D71" s="4" t="inlineStr">
        <is>
          <t>contract executed</t>
        </is>
      </c>
      <c r="E71" s="4" t="inlineStr">
        <is>
          <t>MLPL executed a $994 million (nominal) contract with TasVic Greenlink (TVGL), a joint venture of DT Infrastructure and Samsung C&amp;T Corporation, for converter stations at Heybridge and Hazelwood, equipment installation, and land cable civil works spanning approximately 90 km across Gippsland.</t>
        </is>
      </c>
      <c r="F71" s="4" t="inlineStr">
        <is>
          <t>ML-MLPL-2025-CONTRACT</t>
        </is>
      </c>
      <c r="G71" s="4" t="inlineStr">
        <is>
          <t>web</t>
        </is>
      </c>
    </row>
    <row r="72">
      <c r="A72" s="4" t="inlineStr">
        <is>
          <t>New England REZ Network Infrastructure Project</t>
        </is>
      </c>
      <c r="B72" s="4" t="inlineStr">
        <is>
          <t>2021-12-17</t>
        </is>
      </c>
      <c r="C72" s="4" t="inlineStr">
        <is>
          <t>New England REZ declared</t>
        </is>
      </c>
      <c r="D72" s="4" t="inlineStr">
        <is>
          <t>statutory declaration, primary instrument</t>
        </is>
      </c>
      <c r="E72" s="4" t="inlineStr">
        <is>
          <t>Declared under the Electricity Infrastructure Investment Act 2020 (NSW) via the Renewable Energy Zone (New England) Order 2021 (NSW Government Gazette No 643, 17 December 2021), stating an intended network capacity of 8 gigawatts for network infrastructure in the zone; EnergyCo appointed as infrastructure planner.</t>
        </is>
      </c>
      <c r="F72" s="4" t="inlineStr">
        <is>
          <t>NER-NSWGOV-2021-GAZETTE-643</t>
        </is>
      </c>
      <c r="G72" s="4" t="inlineStr">
        <is>
          <t>3</t>
        </is>
      </c>
    </row>
    <row r="73">
      <c r="A73" s="4" t="inlineStr">
        <is>
          <t>New England REZ Network Infrastructure Project</t>
        </is>
      </c>
      <c r="B73" s="4" t="inlineStr">
        <is>
          <t>2022-06</t>
        </is>
      </c>
      <c r="C73" s="4" t="inlineStr">
        <is>
          <t>2022 ISP: New England REZ Transmission Link</t>
        </is>
      </c>
      <c r="D73" s="4" t="inlineStr">
        <is>
          <t>historical planner representation</t>
        </is>
      </c>
      <c r="E73" s="4" t="inlineStr">
        <is>
          <t>Actionable New South Wales project for delivery in 2027-28, progressing under the Electricity Infrastructure Investment Act 2020 (NSW); estimated to cost $1.9 billion ±50% and to unlock approximately 6,000 MW of VRE and storage capacity.</t>
        </is>
      </c>
      <c r="F73" s="4" t="inlineStr">
        <is>
          <t>HUM-AEMO-2022-ISP</t>
        </is>
      </c>
      <c r="G73" s="4" t="inlineStr">
        <is>
          <t>72</t>
        </is>
      </c>
    </row>
    <row r="74">
      <c r="A74" s="4" t="inlineStr">
        <is>
          <t>New England REZ Network Infrastructure Project</t>
        </is>
      </c>
      <c r="B74" s="4" t="inlineStr">
        <is>
          <t>2023-05</t>
        </is>
      </c>
      <c r="C74" s="4" t="inlineStr">
        <is>
          <t>EnergyCo NSW Network Infrastructure Strategy</t>
        </is>
      </c>
      <c r="D74" s="4" t="inlineStr">
        <is>
          <t>planner strategy</t>
        </is>
      </c>
      <c r="E74" s="4" t="inlineStr">
        <is>
          <t>Sets Deliver Now (6 GW), Secure Now (0.8 GW) and Plan for the Future (1.5 GW) options for New England, states Deliver Now would limit capacity to 6 GW against the intended 8 GW, and proposes initial energisation in 2029.</t>
        </is>
      </c>
      <c r="F74" s="4" t="inlineStr">
        <is>
          <t>CWO-04</t>
        </is>
      </c>
      <c r="G74" s="4" t="inlineStr">
        <is>
          <t>9, 11, 13, 25, 35</t>
        </is>
      </c>
    </row>
    <row r="75">
      <c r="A75" s="4" t="inlineStr">
        <is>
          <t>New England REZ Network Infrastructure Project</t>
        </is>
      </c>
      <c r="B75" s="4" t="inlineStr">
        <is>
          <t>2024-06</t>
        </is>
      </c>
      <c r="C75" s="4" t="inlineStr">
        <is>
          <t>2024 ISP two-part representation</t>
        </is>
      </c>
      <c r="D75" s="4" t="inlineStr">
        <is>
          <t>superseded planner representation</t>
        </is>
      </c>
      <c r="E75" s="4" t="inlineStr">
        <is>
          <t>Flow path CNSW-NNSW Option 1 ($1,834m, ±50%), REZ N2 Option 1 ($370m, Class 5b) and Flow path CNSW-NNSW Option 2 ($1,493m, Class 5b) with proponent timing of June 2031 and June 2033. AEMO notes EnergyCo's May 2024 refined scoping was released too late for the final 2024 ISP model.</t>
        </is>
      </c>
      <c r="F75" s="4" t="inlineStr">
        <is>
          <t>HUM-AEMO-2024-ISP-A5</t>
        </is>
      </c>
      <c r="G75" s="4" t="inlineStr">
        <is>
          <t>30-31</t>
        </is>
      </c>
    </row>
    <row r="76">
      <c r="A76" s="4" t="inlineStr">
        <is>
          <t>New England REZ Network Infrastructure Project</t>
        </is>
      </c>
      <c r="B76" s="4" t="inlineStr">
        <is>
          <t>2024-06</t>
        </is>
      </c>
      <c r="C76" s="4" t="inlineStr">
        <is>
          <t>Critical State Significant Infrastructure declaration</t>
        </is>
      </c>
      <c r="D76" s="4" t="inlineStr">
        <is>
          <t>reported, primary planning record unavailable</t>
        </is>
      </c>
      <c r="E76" s="4" t="inlineStr">
        <is>
          <t>AEMO records that the NSW Minister for Planning and Public Spaces declared the project Critical State Significant Infrastructure. The planning portal record returned HTTP 404 and the EnergyCo EIS route HTTP 403.</t>
        </is>
      </c>
      <c r="F76" s="4" t="inlineStr">
        <is>
          <t>HUM-AEMO-2026-ISP-A5</t>
        </is>
      </c>
      <c r="G76" s="4" t="inlineStr">
        <is>
          <t>30</t>
        </is>
      </c>
    </row>
    <row r="77">
      <c r="A77" s="4" t="inlineStr">
        <is>
          <t>New England REZ Network Infrastructure Project</t>
        </is>
      </c>
      <c r="B77" s="4" t="inlineStr">
        <is>
          <t>2025-11</t>
        </is>
      </c>
      <c r="C77" s="4" t="inlineStr">
        <is>
          <t>Bulk Corridor Design Refinement Report published</t>
        </is>
      </c>
      <c r="D77" s="4" t="inlineStr">
        <is>
          <t>proponent technical report, recommendation not yet finalised</t>
        </is>
      </c>
      <c r="E77" s="4" t="inlineStr">
        <is>
          <t>EnergyCo's comparative assessment of the Refined PSC (346 km) against a new study corridor to the east (305 km) recommends proceeding with the new study corridor for stakeholder engagement, detailed environmental assessment and Reference Design development; footnote records the hub count increased from four to five following the October 2025 split of the Central hub into Central Hub A and Central Hub B.</t>
        </is>
      </c>
      <c r="F77" s="4" t="inlineStr">
        <is>
          <t>NER-ENERGYCO-2025-BULKCORRIDOR</t>
        </is>
      </c>
      <c r="G77" s="4" t="inlineStr">
        <is>
          <t>7, 16, 19, 25, 48</t>
        </is>
      </c>
    </row>
    <row r="78">
      <c r="A78" s="4" t="inlineStr">
        <is>
          <t>New England REZ Network Infrastructure Project</t>
        </is>
      </c>
      <c r="B78" s="4" t="inlineStr">
        <is>
          <t>2026-06</t>
        </is>
      </c>
      <c r="C78" s="4" t="inlineStr">
        <is>
          <t>2026 ISP: anticipated, single-part project</t>
        </is>
      </c>
      <c r="D78" s="4" t="inlineStr">
        <is>
          <t>current planner evidence</t>
        </is>
      </c>
      <c r="E78" s="4" t="inlineStr">
        <is>
          <t>Classified as anticipated with an expected delivery date of January 2034; EnergyCo advises completion in one part (CNSW-NNSW Option 1); network operator and development finance entity procurements under way; delivery-scope table reports 6,000 MW forward and reverse with a blank reported-cost field; scope revised since 2024 including a 170 km extension to Northern Hub.</t>
        </is>
      </c>
      <c r="F78" s="4" t="inlineStr">
        <is>
          <t>HUM-AEMO-2026-ISP-A5</t>
        </is>
      </c>
      <c r="G78" s="4" t="inlineStr">
        <is>
          <t>12, 30-32</t>
        </is>
      </c>
    </row>
    <row r="79">
      <c r="A79" s="4" t="inlineStr">
        <is>
          <t>Project EnergyConnect</t>
        </is>
      </c>
      <c r="B79" s="4" t="inlineStr">
        <is>
          <t>2020-06-29</t>
        </is>
      </c>
      <c r="C79" s="4" t="inlineStr">
        <is>
          <t>TransGrid principal contingent project application</t>
        </is>
      </c>
      <c r="D79" s="4" t="inlineStr">
        <is>
          <t>party application</t>
        </is>
      </c>
      <c r="E79" s="4" t="inlineStr">
        <is>
          <t>TransGrid applied with a total capex forecast of $2,290.9 million (Real 2017-18) for the NSW component over 2018-23.</t>
        </is>
      </c>
      <c r="F79" s="4" t="inlineStr">
        <is>
          <t>PEC-AER-2020-TRANSGRID-APPLICATION</t>
        </is>
      </c>
      <c r="G79" s="4" t="inlineStr">
        <is>
          <t>23</t>
        </is>
      </c>
    </row>
    <row r="80">
      <c r="A80" s="4" t="inlineStr">
        <is>
          <t>Project EnergyConnect</t>
        </is>
      </c>
      <c r="B80" s="4" t="inlineStr">
        <is>
          <t>2020-07-30</t>
        </is>
      </c>
      <c r="C80" s="4" t="inlineStr">
        <is>
          <t>AEMO 2020 ISP actionable project entry</t>
        </is>
      </c>
      <c r="D80" s="4" t="inlineStr">
        <is>
          <t>planner</t>
        </is>
      </c>
      <c r="E80" s="4" t="inlineStr">
        <is>
          <t>Actionable project, capital cost estimate $1,393m-$2,587m, +800 MW SA-NSW and +100 MW SA-VIC, commissioning targeted in stages between late 2022 and late 2023.</t>
        </is>
      </c>
      <c r="F80" s="4" t="inlineStr">
        <is>
          <t>HUM-AEMO-2020-ISP-A3</t>
        </is>
      </c>
      <c r="G80" s="4" t="inlineStr">
        <is>
          <t>27</t>
        </is>
      </c>
    </row>
    <row r="81">
      <c r="A81" s="4" t="inlineStr">
        <is>
          <t>Project EnergyConnect</t>
        </is>
      </c>
      <c r="B81" s="4" t="inlineStr">
        <is>
          <t>2020-09-30</t>
        </is>
      </c>
      <c r="C81" s="4" t="inlineStr">
        <is>
          <t>ElectraNet contingent project application</t>
        </is>
      </c>
      <c r="D81" s="4" t="inlineStr">
        <is>
          <t>party application</t>
        </is>
      </c>
      <c r="E81" s="4" t="inlineStr">
        <is>
          <t>ElectraNet applied with a capex forecast of $470.7 million ($2017-18) for the SA component, targeting construction completion by 31 December 2023.</t>
        </is>
      </c>
      <c r="F81" s="4" t="inlineStr">
        <is>
          <t>PEC-AER-2020-ELECTRANET-APPLICATION</t>
        </is>
      </c>
      <c r="G81" s="4" t="inlineStr">
        <is>
          <t>4</t>
        </is>
      </c>
    </row>
    <row r="82">
      <c r="A82" s="4" t="inlineStr">
        <is>
          <t>Project EnergyConnect</t>
        </is>
      </c>
      <c r="B82" s="4" t="inlineStr">
        <is>
          <t>2021-04</t>
        </is>
      </c>
      <c r="C82" s="4" t="inlineStr">
        <is>
          <t>TransGrid revised proposal</t>
        </is>
      </c>
      <c r="D82" s="4" t="inlineStr">
        <is>
          <t>party application, revised</t>
        </is>
      </c>
      <c r="E82" s="4" t="inlineStr">
        <is>
          <t>TransGrid reduced its proposed capex to $1,866.3 million ($2017-18), as recorded by the AER.</t>
        </is>
      </c>
      <c r="F82" s="4" t="inlineStr">
        <is>
          <t>PEC-AER-2021-TRANSGRID-DECISION</t>
        </is>
      </c>
      <c r="G82" s="4" t="inlineStr">
        <is>
          <t>5</t>
        </is>
      </c>
    </row>
    <row r="83">
      <c r="A83" s="4" t="inlineStr">
        <is>
          <t>Project EnergyConnect</t>
        </is>
      </c>
      <c r="B83" s="4" t="inlineStr">
        <is>
          <t>2021-05-28</t>
        </is>
      </c>
      <c r="C83" s="4" t="inlineStr">
        <is>
          <t>AER final decision, ElectraNet SA component</t>
        </is>
      </c>
      <c r="D83" s="4" t="inlineStr">
        <is>
          <t>regulator determination</t>
        </is>
      </c>
      <c r="E83" s="4" t="inlineStr">
        <is>
          <t>AER determined forecast prudent and efficient capex of $457.4 million ($2017-18) and opex of $0.5 million against a $468.6 million proposal.</t>
        </is>
      </c>
      <c r="F83" s="4" t="inlineStr">
        <is>
          <t>PEC-AER-2021-ELECTRANET-DECISION</t>
        </is>
      </c>
      <c r="G83" s="4" t="inlineStr">
        <is>
          <t>3, 5</t>
        </is>
      </c>
    </row>
    <row r="84">
      <c r="A84" s="4" t="inlineStr">
        <is>
          <t>Project EnergyConnect</t>
        </is>
      </c>
      <c r="B84" s="4" t="inlineStr">
        <is>
          <t>2021-05-28</t>
        </is>
      </c>
      <c r="C84" s="4" t="inlineStr">
        <is>
          <t>AER final decision, TransGrid NSW component</t>
        </is>
      </c>
      <c r="D84" s="4" t="inlineStr">
        <is>
          <t>regulator determination</t>
        </is>
      </c>
      <c r="E84" s="4" t="inlineStr">
        <is>
          <t>AER determined forecast prudent and efficient capex of $1,817.9 million ($2017-18) and opex of $2.5 million against a $1,866.3 million proposal; AER describes PEC as a proposed $2.3 billion ($2017-18) contingent project.</t>
        </is>
      </c>
      <c r="F84" s="4" t="inlineStr">
        <is>
          <t>PEC-AER-2021-TRANSGRID-DECISION</t>
        </is>
      </c>
      <c r="G84" s="4" t="inlineStr">
        <is>
          <t>3, 5, 8</t>
        </is>
      </c>
    </row>
    <row r="85">
      <c r="A85" s="4" t="inlineStr">
        <is>
          <t>Project EnergyConnect</t>
        </is>
      </c>
      <c r="B85" s="4" t="inlineStr">
        <is>
          <t>2022-06-30</t>
        </is>
      </c>
      <c r="C85" s="4" t="inlineStr">
        <is>
          <t>AEMO 2022 ISP timing</t>
        </is>
      </c>
      <c r="D85" s="4" t="inlineStr">
        <is>
          <t>planner</t>
        </is>
      </c>
      <c r="E85" s="4" t="inlineStr">
        <is>
          <t>PEC listed as anticipated with a July 2026 full-capacity date following inter-regional testing; ISP modelling used a July 2025 service date.</t>
        </is>
      </c>
      <c r="F85" s="4" t="inlineStr">
        <is>
          <t>HUM-AEMO-2022-ISP</t>
        </is>
      </c>
      <c r="G85" s="4" t="inlineStr">
        <is>
          <t>66</t>
        </is>
      </c>
    </row>
    <row r="86">
      <c r="A86" s="4" t="inlineStr">
        <is>
          <t>Project EnergyConnect</t>
        </is>
      </c>
      <c r="B86" s="4" t="inlineStr">
        <is>
          <t>2024-06</t>
        </is>
      </c>
      <c r="C86" s="4" t="inlineStr">
        <is>
          <t>AEMO 2024 ISP committed project entry</t>
        </is>
      </c>
      <c r="D86" s="4" t="inlineStr">
        <is>
          <t>planner</t>
        </is>
      </c>
      <c r="E86" s="4" t="inlineStr">
        <is>
          <t>Committed project, Stage 1 scheduled December 2024 and Stage 2 July 2027, with capacity release conditional on inter-network testing, market conditions and good test results.</t>
        </is>
      </c>
      <c r="F86" s="4" t="inlineStr">
        <is>
          <t>HUM-AEMO-2024-ISP-A5</t>
        </is>
      </c>
      <c r="G86" s="4" t="inlineStr">
        <is>
          <t>17-18</t>
        </is>
      </c>
    </row>
    <row r="87">
      <c r="A87" s="4" t="inlineStr">
        <is>
          <t>Project EnergyConnect</t>
        </is>
      </c>
      <c r="B87" s="4" t="inlineStr">
        <is>
          <t>2024-12</t>
        </is>
      </c>
      <c r="C87" s="4" t="inlineStr">
        <is>
          <t>Stage 1 completed</t>
        </is>
      </c>
      <c r="D87" s="4" t="inlineStr">
        <is>
          <t>completed, reported by AEMO 2026</t>
        </is>
      </c>
      <c r="E87" s="4" t="inlineStr">
        <is>
          <t>Robertstown (via Bundey) to Buronga completed in late 2024, providing an initial 150 MW transfer capability between NSW and SA. No primary completion instrument was captured.</t>
        </is>
      </c>
      <c r="F87" s="4" t="inlineStr">
        <is>
          <t>HUM-AEMO-2026-ISP-A5</t>
        </is>
      </c>
      <c r="G87" s="4" t="inlineStr">
        <is>
          <t>16</t>
        </is>
      </c>
    </row>
    <row r="88">
      <c r="A88" s="4" t="inlineStr">
        <is>
          <t>Project EnergyConnect</t>
        </is>
      </c>
      <c r="B88" s="4" t="inlineStr">
        <is>
          <t>2026-06</t>
        </is>
      </c>
      <c r="C88" s="4" t="inlineStr">
        <is>
          <t>AEMO 2026 ISP committed project entry</t>
        </is>
      </c>
      <c r="D88" s="4" t="inlineStr">
        <is>
          <t>current planner evidence</t>
        </is>
      </c>
      <c r="E88" s="4" t="inlineStr">
        <is>
          <t>Stage 2 underway and committed for November 2027; NSW-SA capability expected to increase to 800 MW in both directions after Stage 2.</t>
        </is>
      </c>
      <c r="F88" s="4" t="inlineStr">
        <is>
          <t>HUM-AEMO-2026-ISP-A5</t>
        </is>
      </c>
      <c r="G88" s="4" t="inlineStr">
        <is>
          <t>16-17</t>
        </is>
      </c>
    </row>
    <row r="89">
      <c r="A89" s="4" t="inlineStr">
        <is>
          <t>Project EnergyConnect</t>
        </is>
      </c>
      <c r="B89" s="4" t="inlineStr">
        <is>
          <t>2026-09-02</t>
        </is>
      </c>
      <c r="C89" s="4" t="inlineStr">
        <is>
          <t>Transgrid project page capture</t>
        </is>
      </c>
      <c r="D89" s="4" t="inlineStr">
        <is>
          <t>owner record</t>
        </is>
      </c>
      <c r="E89" s="4" t="inlineStr">
        <is>
          <t>Construction and initial energisation complete; asset commissioning progressing ahead of inter-network testing and integration into the NEM by the end of 2026; project described as 900 km across three states.</t>
        </is>
      </c>
      <c r="F89" s="4" t="inlineStr">
        <is>
          <t>PEC-TG-PROJECT-PAGE</t>
        </is>
      </c>
      <c r="G89" s="4" t="inlineStr">
        <is>
          <t>derivative lines 1206-1207</t>
        </is>
      </c>
    </row>
    <row r="90">
      <c r="A90" s="4" t="inlineStr">
        <is>
          <t>Project EnergyConnect</t>
        </is>
      </c>
      <c r="B90" s="4" t="inlineStr">
        <is>
          <t>2023-10-25</t>
        </is>
      </c>
      <c r="C90" s="4" t="inlineStr">
        <is>
          <t>Transgrid's Board recognises Contract Failure</t>
        </is>
      </c>
      <c r="D90" s="4" t="inlineStr">
        <is>
          <t>owner-recognised event</t>
        </is>
      </c>
      <c r="E90" s="4" t="inlineStr">
        <is>
          <t>Transgrid's Board recognised and accepted that Contract Failure had occurred, meaning the successful completion of PEC by Elecnor Australia under the existing EPC contract was not possible. Transgrid subsequently identified and evaluated alternative options before entering an Incentivised Completion Cost (ICC) contract with Elecnor Australia in December 2024.</t>
        </is>
      </c>
      <c r="F90" s="4" t="inlineStr">
        <is>
          <t>PEC-TG-2026-ATTACHMENT2</t>
        </is>
      </c>
      <c r="G90" s="4" t="inlineStr">
        <is>
          <t>7, 25</t>
        </is>
      </c>
    </row>
    <row r="91">
      <c r="A91" s="4" t="inlineStr">
        <is>
          <t>Project EnergyConnect</t>
        </is>
      </c>
      <c r="B91" s="4" t="inlineStr">
        <is>
          <t>2026-02</t>
        </is>
      </c>
      <c r="C91" s="4" t="inlineStr">
        <is>
          <t>TransGrid lodges reopener application</t>
        </is>
      </c>
      <c r="D91" s="4" t="inlineStr">
        <is>
          <t>party application</t>
        </is>
      </c>
      <c r="E91" s="4" t="inlineStr">
        <is>
          <t>TransGrid applied under NER clause 6A.7.1(a) to reopen its 2023-2028 revenue determination, citing Contract Failure and stating a forecast total capital expenditure to complete PEC (TransGrid's NSW component) of $3,628 million (real 2022-23), against an inflation-adjusted CPA allowance of $2,121 million; the cover letter rounds this to 'the forecast cost to deliver PEC had increased to $3.6 billion.' The reopener amount sought is $1,142 million. Not yet decided by the AER as at the 2026-09-03 research cutoff.</t>
        </is>
      </c>
      <c r="F91" s="4" t="inlineStr">
        <is>
          <t>PEC-AER-2026-REOPEN</t>
        </is>
      </c>
      <c r="G91" s="4" t="inlineStr">
        <is>
          <t>2, 30</t>
        </is>
      </c>
    </row>
    <row r="92">
      <c r="A92" s="4" t="inlineStr">
        <is>
          <t>Project EnergyConnect</t>
        </is>
      </c>
      <c r="B92" s="4" t="inlineStr">
        <is>
          <t>2026-06-10</t>
        </is>
      </c>
      <c r="C92" s="4" t="inlineStr">
        <is>
          <t>Transgrid reports EnergyConnect NSW section construction complete</t>
        </is>
      </c>
      <c r="D92" s="4" t="inlineStr">
        <is>
          <t>owner record</t>
        </is>
      </c>
      <c r="E92" s="4" t="inlineStr">
        <is>
          <t>Transgrid and Elecnor Australia completed construction of the 700 km NSW section (1,500+ towers, 10,000+ km of conductor). Stage 2 (the 540 km Buronga-Wagga Wagga line) is being energised following commissioning checks, ahead of AEMO inter-network testing due later in 2026. The release also states Stage 1 (160 km, SA border to Buronga and into Victoria) 'became operational last year' - which does not match AEMO's 'late 2024' Stage 1 completion date.</t>
        </is>
      </c>
      <c r="F92" s="4" t="inlineStr">
        <is>
          <t>PEC-TG-2026-COMPLETION</t>
        </is>
      </c>
      <c r="G92" s="4" t="inlineStr">
        <is>
          <t>derivative lines 159-166</t>
        </is>
      </c>
    </row>
    <row r="93">
      <c r="A93" s="4" t="inlineStr">
        <is>
          <t>Project EnergyConnect</t>
        </is>
      </c>
      <c r="B93" s="4" t="inlineStr">
        <is>
          <t>2026-09-04</t>
        </is>
      </c>
      <c r="C93" s="4" t="inlineStr">
        <is>
          <t>Joint ElectraNet/Transgrid project page capture</t>
        </is>
      </c>
      <c r="D93" s="4" t="inlineStr">
        <is>
          <t>owner record</t>
        </is>
      </c>
      <c r="E93" s="4" t="inlineStr">
        <is>
          <t>The joint project page states an approximate total route length of 900 km, an approximate interconnector transfer capacity of 800 MW, and a 700 km NSW section - though its 'Current status' text describes NSW construction as still under way, not complete as Transgrid's own June 2026 completion release states.</t>
        </is>
      </c>
      <c r="F93" s="4" t="inlineStr">
        <is>
          <t>PEC-JOINT-2026-PROJECT-PAGE</t>
        </is>
      </c>
      <c r="G93" s="4" t="inlineStr">
        <is>
          <t>derivative lines 20, 33, 69</t>
        </is>
      </c>
    </row>
    <row r="94">
      <c r="A94" s="4" t="inlineStr">
        <is>
          <t>Sydney Ring South (Reinforcing Sydney, Newcastle and Wollongong Supply)</t>
        </is>
      </c>
      <c r="B94" s="4" t="inlineStr">
        <is>
          <t>2024-06</t>
        </is>
      </c>
      <c r="C94" s="4" t="inlineStr">
        <is>
          <t>Sydney Ring South identified as an actionable ISP project</t>
        </is>
      </c>
      <c r="D94" s="4" t="inlineStr">
        <is>
          <t>planner</t>
        </is>
      </c>
      <c r="E94" s="4" t="inlineStr">
        <is>
          <t>2024 ISP names Option 2d (Greater Western Sydney switching station and modular power flow controllers) as the ISP candidate option; Options 2, 2b, 3 and 3d are alternatives.</t>
        </is>
      </c>
      <c r="F94" s="4" t="inlineStr">
        <is>
          <t>HUM-AEMO-2024-ISP-A5</t>
        </is>
      </c>
      <c r="G94" s="4" t="inlineStr">
        <is>
          <t>26–28</t>
        </is>
      </c>
    </row>
    <row r="95">
      <c r="A95" s="4" t="inlineStr">
        <is>
          <t>Sydney Ring South (Reinforcing Sydney, Newcastle and Wollongong Supply)</t>
        </is>
      </c>
      <c r="B95" s="4" t="inlineStr">
        <is>
          <t>2024-06</t>
        </is>
      </c>
      <c r="C95" s="4" t="inlineStr">
        <is>
          <t>HTP boundary stated</t>
        </is>
      </c>
      <c r="D95" s="4" t="inlineStr">
        <is>
          <t>planner</t>
        </is>
      </c>
      <c r="E95" s="4" t="inlineStr">
        <is>
          <t>2024 ISP keeps the Hunter Transmission Project under the NSW Electricity Infrastructure Investment Act and models it completed before or at the same time as Sydney Ring South.</t>
        </is>
      </c>
      <c r="F95" s="4" t="inlineStr">
        <is>
          <t>HUM-AEMO-2024-ISP-A5</t>
        </is>
      </c>
      <c r="G95" s="4" t="inlineStr">
        <is>
          <t>28</t>
        </is>
      </c>
    </row>
    <row r="96">
      <c r="A96" s="4" t="inlineStr">
        <is>
          <t>Sydney Ring South (Reinforcing Sydney, Newcastle and Wollongong Supply)</t>
        </is>
      </c>
      <c r="B96" s="4" t="inlineStr">
        <is>
          <t>2025-06-30</t>
        </is>
      </c>
      <c r="C96" s="4" t="inlineStr">
        <is>
          <t>PADR publication deadline set by AEMO</t>
        </is>
      </c>
      <c r="D96" s="4" t="inlineStr">
        <is>
          <t>planner requirement</t>
        </is>
      </c>
      <c r="E96" s="4" t="inlineStr">
        <is>
          <t>2024 ISP required the Project Assessment Draft Report to be published and made available to relevant persons by 30 June 2025.</t>
        </is>
      </c>
      <c r="F96" s="4" t="inlineStr">
        <is>
          <t>HUM-AEMO-2024-ISP-A5</t>
        </is>
      </c>
      <c r="G96" s="4" t="inlineStr">
        <is>
          <t>26</t>
        </is>
      </c>
    </row>
    <row r="97">
      <c r="A97" s="4" t="inlineStr">
        <is>
          <t>Sydney Ring South (Reinforcing Sydney, Newcastle and Wollongong Supply)</t>
        </is>
      </c>
      <c r="B97" s="4" t="inlineStr">
        <is>
          <t>2023-06</t>
        </is>
      </c>
      <c r="C97" s="4" t="inlineStr">
        <is>
          <t>Transgrid publishes Southern Ring ISP preparatory activities report</t>
        </is>
      </c>
      <c r="D97" s="4" t="inlineStr">
        <is>
          <t>proponent preparatory activity</t>
        </is>
      </c>
      <c r="E97" s="4" t="inlineStr">
        <is>
          <t>Transgrid's preparatory activities report gives a P50 cost of $1.55bn (un-escalated $2022/23) for reinforcing Sydney, Newcastle and Wollongong supply, including a new Bannaby-South Creek 500 kV double-circuit overhead line of approximate length 114 km.</t>
        </is>
      </c>
      <c r="F97" s="4" t="inlineStr">
        <is>
          <t>SRS-TG-2023-SOUTHERN-RING</t>
        </is>
      </c>
      <c r="G97" s="4" t="inlineStr">
        <is>
          <t>8</t>
        </is>
      </c>
    </row>
    <row r="98">
      <c r="A98" s="4" t="inlineStr">
        <is>
          <t>Sydney Ring South (Reinforcing Sydney, Newcastle and Wollongong Supply)</t>
        </is>
      </c>
      <c r="B98" s="4" t="inlineStr">
        <is>
          <t>2026-06</t>
        </is>
      </c>
      <c r="C98" s="4" t="inlineStr">
        <is>
          <t>Transgrid PADR under consultation</t>
        </is>
      </c>
      <c r="D98" s="4" t="inlineStr">
        <is>
          <t>proponent, PADR under consultation</t>
        </is>
      </c>
      <c r="E98" s="4" t="inlineStr">
        <is>
          <t>AEMO reports the PADR preferred option (Option 6) as staged delivery of both actionable options.</t>
        </is>
      </c>
      <c r="F98" s="4" t="inlineStr">
        <is>
          <t>HUM-AEMO-2026-ISP-A5</t>
        </is>
      </c>
      <c r="G98" s="4" t="inlineStr">
        <is>
          <t>43</t>
        </is>
      </c>
    </row>
    <row r="99">
      <c r="A99" s="4" t="inlineStr">
        <is>
          <t>Sydney Ring South (Reinforcing Sydney, Newcastle and Wollongong Supply)</t>
        </is>
      </c>
      <c r="B99" s="4" t="inlineStr">
        <is>
          <t>2026-05</t>
        </is>
      </c>
      <c r="C99" s="4" t="inlineStr">
        <is>
          <t>Transgrid publishes Sydney Ring South PADR</t>
        </is>
      </c>
      <c r="D99" s="4" t="inlineStr">
        <is>
          <t>proponent draft RIT-T report</t>
        </is>
      </c>
      <c r="E99" s="4" t="inlineStr">
        <is>
          <t>Published 29 May 2026. States Option 6 as the preferred option: staged delivery of power flow control plus a new South Creek 500/330 kV substation (2030/31), then a 500 kV double-circuit line from Bannaby to South Western Sydney (2033/34), total capital cost $3,519 million (nominal). Also reports Options 2, 2d, 3, 4 and 5.</t>
        </is>
      </c>
      <c r="F99" s="4" t="inlineStr">
        <is>
          <t>SRS-TG-2026-PADR</t>
        </is>
      </c>
      <c r="G99" s="4" t="inlineStr">
        <is>
          <t>1, 8, 33, 38</t>
        </is>
      </c>
    </row>
    <row r="100">
      <c r="A100" s="4" t="inlineStr">
        <is>
          <t>Sydney Ring South (Reinforcing Sydney, Newcastle and Wollongong Supply)</t>
        </is>
      </c>
      <c r="B100" s="4" t="inlineStr">
        <is>
          <t>2026-06</t>
        </is>
      </c>
      <c r="C100" s="4" t="inlineStr">
        <is>
          <t>2026 ISP representation</t>
        </is>
      </c>
      <c r="D100" s="4" t="inlineStr">
        <is>
          <t>current planner evidence</t>
        </is>
      </c>
      <c r="E100" s="4" t="inlineStr">
        <is>
          <t>Two options identified as a single actionable ISP project: power flow control (July 2030 proponent timing) and Bannaby – South Creek 500 kV transmission (July 2033 proponent timing).</t>
        </is>
      </c>
      <c r="F100" s="4" t="inlineStr">
        <is>
          <t>HUM-AEMO-2026-ISP-A5</t>
        </is>
      </c>
      <c r="G100" s="4" t="inlineStr">
        <is>
          <t>42–45</t>
        </is>
      </c>
    </row>
    <row r="101">
      <c r="A101" s="4" t="inlineStr">
        <is>
          <t>Sydney Ring South (Reinforcing Sydney, Newcastle and Wollongong Supply)</t>
        </is>
      </c>
      <c r="B101" s="4" t="inlineStr">
        <is>
          <t>2033-34</t>
        </is>
      </c>
      <c r="C101" s="4" t="inlineStr">
        <is>
          <t>ODP delivery of Stage 1 and Stage 2</t>
        </is>
      </c>
      <c r="D101" s="4" t="inlineStr">
        <is>
          <t>planner ODP timing</t>
        </is>
      </c>
      <c r="E101" s="4" t="inlineStr">
        <is>
          <t>2026 ISP ODP considers both stages of Option 3 delivered in 2033-34; Transgrid's PADR instead places the South Creek 500/330 kV substation in 2030-31 with the power flow control solution.</t>
        </is>
      </c>
      <c r="F101" s="4" t="inlineStr">
        <is>
          <t>HUM-AEMO-2026-ISP-A5</t>
        </is>
      </c>
      <c r="G101" s="4" t="inlineStr">
        <is>
          <t>44</t>
        </is>
      </c>
    </row>
    <row r="102">
      <c r="A102" s="4" t="inlineStr">
        <is>
          <t>Sydney Ring South (Reinforcing Sydney, Newcastle and Wollongong Supply)</t>
        </is>
      </c>
      <c r="B102" s="4" t="inlineStr">
        <is>
          <t>2026-08-28</t>
        </is>
      </c>
      <c r="C102" s="4" t="inlineStr">
        <is>
          <t>Transgrid project page: PADR consultation closes; six options confirmed; PACR anticipated mid-2027</t>
        </is>
      </c>
      <c r="D102" s="4" t="inlineStr">
        <is>
          <t>proponent webpage record</t>
        </is>
      </c>
      <c r="E102" s="4" t="inlineStr">
        <is>
          <t>Transgrid states it assessed six options in the PADR and is investigating a second high-capacity pathway, such as a 500 kV line, into Western Sydney; the PADR's 13-week consultation ran 29 May to 28 August 2026; no corridor, route or preferred technology has yet been decided; the PACR is anticipated to be published in mid-2027 at the earliest.</t>
        </is>
      </c>
      <c r="F102" s="4" t="inlineStr">
        <is>
          <t>SRS-TG-2026-PROJECTPAGE</t>
        </is>
      </c>
      <c r="G102" s="4" t="inlineStr">
        <is>
          <t>web</t>
        </is>
      </c>
    </row>
    <row r="103">
      <c r="A103" s="4" t="inlineStr">
        <is>
          <t>VNI West (South West NSW REZ component)</t>
        </is>
      </c>
      <c r="B103" s="4" t="inlineStr">
        <is>
          <t>2020-07</t>
        </is>
      </c>
      <c r="C103" s="4" t="inlineStr">
        <is>
          <t>2020 ISP presents VNI West route alternatives</t>
        </is>
      </c>
      <c r="D103" s="4" t="inlineStr">
        <is>
          <t>historical candidate options</t>
        </is>
      </c>
      <c r="E103" s="4" t="inlineStr">
        <is>
          <t>Shepparton and Kerang routes assessed as ISP candidate options; the Kerang route reports South West NSW REZ hosting +1,000 MW and VIC-NSW transfer +1,930 MW north / +1,800 MW south.</t>
        </is>
      </c>
      <c r="F103" s="4" t="inlineStr">
        <is>
          <t>HUM-AEMO-2020-ISP-A3</t>
        </is>
      </c>
      <c r="G103" s="4" t="inlineStr">
        <is>
          <t>33-36</t>
        </is>
      </c>
    </row>
    <row r="104">
      <c r="A104" s="4" t="inlineStr">
        <is>
          <t>VNI West (South West NSW REZ component)</t>
        </is>
      </c>
      <c r="B104" s="4" t="inlineStr">
        <is>
          <t>2023-05</t>
        </is>
      </c>
      <c r="C104" s="4" t="inlineStr">
        <is>
          <t>RIT-T concluded; option 5A confirmed as preferred option</t>
        </is>
      </c>
      <c r="D104" s="4" t="inlineStr">
        <is>
          <t>proponent decision, reported by AEMO</t>
        </is>
      </c>
      <c r="E104" s="4" t="inlineStr">
        <is>
          <t>AVP and Transgrid concluded the RIT-T and confirmed option 5A (VNI West PACR). The Victorian Minister also issued an order identifying VNI West as a specified augmentation for the Victorian part of the project.</t>
        </is>
      </c>
      <c r="F104" s="4" t="inlineStr">
        <is>
          <t>HUM-AEMO-2026-ISP-A5</t>
        </is>
      </c>
      <c r="G104" s="4" t="inlineStr">
        <is>
          <t>51</t>
        </is>
      </c>
    </row>
    <row r="105">
      <c r="A105" s="4" t="inlineStr">
        <is>
          <t>VNI West (South West NSW REZ component)</t>
        </is>
      </c>
      <c r="B105" s="4" t="inlineStr">
        <is>
          <t>2023-05</t>
        </is>
      </c>
      <c r="C105" s="4" t="inlineStr">
        <is>
          <t>VNI West PACR published; Option 5A capital cost stated at $3,499m ($m 2020-21) and NSW-portion line length assumed at 184 km</t>
        </is>
      </c>
      <c r="D105" s="4" t="inlineStr">
        <is>
          <t>proponent report, primary PACR now archived</t>
        </is>
      </c>
      <c r="E105" s="4" t="inlineStr">
        <is>
          <t>AVP/Transgrid's RIT-T Project Assessment Conclusions Report Volume 1 confirms Option 5A (north of Kerang) as preferred, with whole-interconnector capital cost $3,499m ($m 2020-21), and assumes an NSW-portion line length of 184 km (85% on private land) for Strategic Benefits Payment Scheme opex estimation.</t>
        </is>
      </c>
      <c r="F105" s="4" t="inlineStr">
        <is>
          <t>VNV-TRANSGRID-2023-PACR</t>
        </is>
      </c>
      <c r="G105" s="4" t="inlineStr">
        <is>
          <t>10, 116</t>
        </is>
      </c>
    </row>
    <row r="106">
      <c r="A106" s="4" t="inlineStr">
        <is>
          <t>VNI West (South West NSW REZ component)</t>
        </is>
      </c>
      <c r="B106" s="4" t="inlineStr">
        <is>
          <t>2023-12</t>
        </is>
      </c>
      <c r="C106" s="4" t="inlineStr">
        <is>
          <t>AEMO feedback loop confirmation to Transgrid</t>
        </is>
      </c>
      <c r="D106" s="4" t="inlineStr">
        <is>
          <t>planner confirmation</t>
        </is>
      </c>
      <c r="E106" s="4" t="inlineStr">
        <is>
          <t>AEMO confirmed the project addresses the identified need and aligns with the optimal development path in the most recent ISP.</t>
        </is>
      </c>
      <c r="F106" s="4" t="inlineStr">
        <is>
          <t>HUM-AEMO-2026-ISP-A5</t>
        </is>
      </c>
      <c r="G106" s="4" t="inlineStr">
        <is>
          <t>52</t>
        </is>
      </c>
    </row>
    <row r="107">
      <c r="A107" s="4" t="inlineStr">
        <is>
          <t>VNI West (South West NSW REZ component)</t>
        </is>
      </c>
      <c r="B107" s="4" t="inlineStr">
        <is>
          <t>2023-12</t>
        </is>
      </c>
      <c r="C107" s="4" t="inlineStr">
        <is>
          <t>Transgrid submits VNI West Stage 1 early works contingent project application to the AER</t>
        </is>
      </c>
      <c r="D107" s="4" t="inlineStr">
        <is>
          <t>proponent regulatory application</t>
        </is>
      </c>
      <c r="E107" s="4" t="inlineStr">
        <is>
          <t>Transgrid's CPA proposed $1,096.3 million ($Real 2022-23) in capex for the New South Wales portion of the project and $213.4 million in incremental revenue for the 2023-28 regulatory period.</t>
        </is>
      </c>
      <c r="F107" s="4" t="inlineStr">
        <is>
          <t>VNN-AER-2024-CPADETERMINATION</t>
        </is>
      </c>
      <c r="G107" s="4" t="inlineStr">
        <is>
          <t>3-4</t>
        </is>
      </c>
    </row>
    <row r="108">
      <c r="A108" s="4" t="inlineStr">
        <is>
          <t>VNI West (South West NSW REZ component)</t>
        </is>
      </c>
      <c r="B108" s="4" t="inlineStr">
        <is>
          <t>2024-05</t>
        </is>
      </c>
      <c r="C108" s="4" t="inlineStr">
        <is>
          <t>AER determines VNI West Stage 1 early works contingent project</t>
        </is>
      </c>
      <c r="D108" s="4" t="inlineStr">
        <is>
          <t>regulatory determination</t>
        </is>
      </c>
      <c r="E108" s="4" t="inlineStr">
        <is>
          <t>AER substitutes an alternative estimate of $948.8 million ($Real 2022-23) for Transgrid's proposed $1,096.3 million stage 1 early works capex, and approves $164.2 million incremental revenue over 2025-26 to 2027-28.</t>
        </is>
      </c>
      <c r="F108" s="4" t="inlineStr">
        <is>
          <t>VNN-AER-2024-CPADETERMINATION</t>
        </is>
      </c>
      <c r="G108" s="4" t="inlineStr">
        <is>
          <t>6-7</t>
        </is>
      </c>
    </row>
    <row r="109">
      <c r="A109" s="4" t="inlineStr">
        <is>
          <t>VNI West (South West NSW REZ component)</t>
        </is>
      </c>
      <c r="B109" s="4" t="inlineStr">
        <is>
          <t>2024-06</t>
        </is>
      </c>
      <c r="C109" s="4" t="inlineStr">
        <is>
          <t>2024 ISP actionable representation</t>
        </is>
      </c>
      <c r="D109" s="4" t="inlineStr">
        <is>
          <t>planner</t>
        </is>
      </c>
      <c r="E109" s="4" t="inlineStr">
        <is>
          <t>Whole VNI West Option 1 scope with two Dinawan 500/330 kV 1,500 MVA transformers; $3,499m in 2020-21 dollars inclusive of WRL, and $3,614m applied for ISP modelling; PACR capacity release date December 2029.</t>
        </is>
      </c>
      <c r="F109" s="4" t="inlineStr">
        <is>
          <t>HUM-AEMO-2024-ISP-A5</t>
        </is>
      </c>
      <c r="G109" s="4" t="inlineStr">
        <is>
          <t>44-45</t>
        </is>
      </c>
    </row>
    <row r="110">
      <c r="A110" s="4" t="inlineStr">
        <is>
          <t>VNI West (South West NSW REZ component)</t>
        </is>
      </c>
      <c r="B110" s="4" t="inlineStr">
        <is>
          <t>2025-08</t>
        </is>
      </c>
      <c r="C110" s="4" t="inlineStr">
        <is>
          <t>EIS for the NSW section of VNI West placed on public exhibition</t>
        </is>
      </c>
      <c r="D110" s="4" t="inlineStr">
        <is>
          <t>planning process milestone, proponent-stated</t>
        </is>
      </c>
      <c r="E110" s="4" t="inlineStr">
        <is>
          <t>Transgrid's project page states the EIS for the NSW section was placed on public exhibition in August 2025; an Amendment Report and Submissions Report were subsequently lodged with NSW DPHI.</t>
        </is>
      </c>
      <c r="F110" s="4" t="inlineStr">
        <is>
          <t>VNN-TG-2026-PROJECTPAGE</t>
        </is>
      </c>
      <c r="G110" s="4" t="inlineStr">
        <is>
          <t>captured HTML page; derivative line 176-177</t>
        </is>
      </c>
    </row>
    <row r="111">
      <c r="A111" s="4" t="inlineStr">
        <is>
          <t>VNI West (South West NSW REZ component)</t>
        </is>
      </c>
      <c r="B111" s="4" t="inlineStr">
        <is>
          <t>2025-11</t>
        </is>
      </c>
      <c r="C111" s="4" t="inlineStr">
        <is>
          <t>Iberdrola awarded design-and-develop contract</t>
        </is>
      </c>
      <c r="D111" s="4" t="inlineStr">
        <is>
          <t>reported by AEMO; primary contract not archived</t>
        </is>
      </c>
      <c r="E111" s="4" t="inlineStr">
        <is>
          <t>Iberdrola awarded the contract to design and develop the project with TCV and subsequently submit a proposal to build, own and operate the transmission line. AEMO's Victorian network functions also transferred to VicGrid from 1 November 2025.</t>
        </is>
      </c>
      <c r="F111" s="4" t="inlineStr">
        <is>
          <t>HUM-AEMO-2026-ISP-A5</t>
        </is>
      </c>
      <c r="G111" s="4" t="inlineStr">
        <is>
          <t>51-52</t>
        </is>
      </c>
    </row>
    <row r="112">
      <c r="A112" s="4" t="inlineStr">
        <is>
          <t>VNI West (South West NSW REZ component)</t>
        </is>
      </c>
      <c r="B112" s="4" t="inlineStr">
        <is>
          <t>2026-06</t>
        </is>
      </c>
      <c r="C112" s="4" t="inlineStr">
        <is>
          <t>NSW Government announces $225m South West REZ investment</t>
        </is>
      </c>
      <c r="D112" s="4" t="inlineStr">
        <is>
          <t>government announcement</t>
        </is>
      </c>
      <c r="E112" s="4" t="inlineStr">
        <is>
          <t>The 2026 NSW Budget commits $225 million to support South West REZ grid upgrades; captured from the official EnergyCo route, with publication date not asserted.</t>
        </is>
      </c>
      <c r="F112" s="4" t="inlineStr">
        <is>
          <t>ATE15-EC-FUND-1</t>
        </is>
      </c>
      <c r="G112" s="4" t="inlineStr">
        <is>
          <t>captured HTML page; derivative line 272-278</t>
        </is>
      </c>
    </row>
    <row r="113">
      <c r="A113" s="4" t="inlineStr">
        <is>
          <t>VNI West (South West NSW REZ component)</t>
        </is>
      </c>
      <c r="B113" s="4" t="inlineStr">
        <is>
          <t>2026-06</t>
        </is>
      </c>
      <c r="C113" s="4" t="inlineStr">
        <is>
          <t>South West NSW REZ component categorised as an actionable NSW project</t>
        </is>
      </c>
      <c r="D113" s="4" t="inlineStr">
        <is>
          <t>planner categorisation / lifecycle change</t>
        </is>
      </c>
      <c r="E113" s="4" t="inlineStr">
        <is>
          <t>Following the NSW investment announcement, the component progresses under the Electricity Infrastructure Investment Act 2020 (NSW) rather than the ISP framework, while VNI West remains one actionable integrated ISP project; reported cost $7,600m ($2025, Class 4 -30%/+50%) with a separate $116m third-transformer increment.</t>
        </is>
      </c>
      <c r="F113" s="4" t="inlineStr">
        <is>
          <t>HUM-AEMO-2026-ISP-A5</t>
        </is>
      </c>
      <c r="G113" s="4" t="inlineStr">
        <is>
          <t>51-52</t>
        </is>
      </c>
    </row>
    <row r="114">
      <c r="A114" s="4" t="inlineStr">
        <is>
          <t>VNI West (South West NSW REZ component)</t>
        </is>
      </c>
      <c r="B114" s="4" t="inlineStr">
        <is>
          <t>2026</t>
        </is>
      </c>
      <c r="C114" s="4" t="inlineStr">
        <is>
          <t>EnergyCo NSW names VNI West as one of two South West REZ transmission projects</t>
        </is>
      </c>
      <c r="D114" s="4" t="inlineStr">
        <is>
          <t>delivery-body confirmation</t>
        </is>
      </c>
      <c r="E114" s="4" t="inlineStr">
        <is>
          <t>EnergyCo's South West REZ transmission and generation projects page names Project EnergyConnect and VNI West as the two transmission projects forming the REZ's access rights network, and states Transgrid is currently planning VNI West.</t>
        </is>
      </c>
      <c r="F114" s="4" t="inlineStr">
        <is>
          <t>VNN-ENERGYCO-2026-SWREZ-TRANSMISSION</t>
        </is>
      </c>
      <c r="G114" s="4" t="inlineStr">
        <is>
          <t>captured HTML page; derivative line 284-315</t>
        </is>
      </c>
    </row>
    <row r="115">
      <c r="A115" s="4" t="inlineStr">
        <is>
          <t>VNI West (South West NSW REZ component)</t>
        </is>
      </c>
      <c r="B115" s="4" t="inlineStr">
        <is>
          <t>2026</t>
        </is>
      </c>
      <c r="C115" s="4" t="inlineStr">
        <is>
          <t>NSW DPHI reviewing EIS for VNI West; approval decision anticipated late 2026</t>
        </is>
      </c>
      <c r="D115" s="4" t="inlineStr">
        <is>
          <t>planning process, anticipated timing</t>
        </is>
      </c>
      <c r="E115" s="4" t="inlineStr">
        <is>
          <t>Transgrid's project page states NSW DPHI is reviewing the EIS, Amendment Report and Submissions Report before making a recommendation towards a final approval decision by the State and Commonwealth governments, with a decision anticipated in late 2026.</t>
        </is>
      </c>
      <c r="F115" s="4" t="inlineStr">
        <is>
          <t>VNN-TG-2026-PROJECTPAGE</t>
        </is>
      </c>
      <c r="G115" s="4" t="inlineStr">
        <is>
          <t>captured HTML page; derivative line 185</t>
        </is>
      </c>
    </row>
    <row r="116">
      <c r="A116" s="4" t="inlineStr">
        <is>
          <t>VNI West (Victoria)</t>
        </is>
      </c>
      <c r="B116" s="4" t="inlineStr">
        <is>
          <t>2022-06-30</t>
        </is>
      </c>
      <c r="C116" s="4" t="inlineStr">
        <is>
          <t>2022 ISP candidate option</t>
        </is>
      </c>
      <c r="D116" s="4" t="inlineStr">
        <is>
          <t>planner</t>
        </is>
      </c>
      <c r="E116" s="4" t="inlineStr">
        <is>
          <t>VNI West (via Kerang) identified as the ISP candidate option in the ODP; described as a 500 kV interconnector from a substation near Ballarat in Victoria to a new substation named Dinawan in southwest New South Wales, with Stage 2 implementation by July 2031.</t>
        </is>
      </c>
      <c r="F116" s="4" t="inlineStr">
        <is>
          <t>HUM-AEMO-2022-ISP</t>
        </is>
      </c>
      <c r="G116" s="4" t="inlineStr">
        <is>
          <t>74</t>
        </is>
      </c>
    </row>
    <row r="117">
      <c r="A117" s="4" t="inlineStr">
        <is>
          <t>VNI West (Victoria)</t>
        </is>
      </c>
      <c r="B117" s="4" t="inlineStr">
        <is>
          <t>2023-05</t>
        </is>
      </c>
      <c r="C117" s="4" t="inlineStr">
        <is>
          <t>RIT-T concluded; option 5A preferred; NEVA specified augmentation order</t>
        </is>
      </c>
      <c r="D117" s="4" t="inlineStr">
        <is>
          <t>decision, primary instruments now archived</t>
        </is>
      </c>
      <c r="E117" s="4" t="inlineStr">
        <is>
          <t>AVP and Transgrid concluded the joint RIT-T and confirmed Option 5A as the preferred option: estimated capital cost $3,499m (June 2021 real dollars / FY2020-21 dollars, Class 4, ±30%), split $1,755m Victoria / $1,744m New South Wales; indicative transfer capability +1,935 MW Victoria to NSW and +1,669 MW NSW to Victoria; approximate line length 206 km in Victoria and 203 km in New South Wales (route not yet determined). In the same month the Victorian Minister for Energy and Resources issued the s16Y Order (27 May 2023, Special Gazette S267) identifying Option 5A as the specified augmentation, replacing the original 20 February 2023 order. The PACR and both gazetted orders are now archived.</t>
        </is>
      </c>
      <c r="F117" s="4" t="inlineStr">
        <is>
          <t>VNV-TRANSGRID-2023-PACR</t>
        </is>
      </c>
      <c r="G117" s="4" t="inlineStr">
        <is>
          <t>9, 48, 88</t>
        </is>
      </c>
    </row>
    <row r="118">
      <c r="A118" s="4" t="inlineStr">
        <is>
          <t>VNI West (Victoria)</t>
        </is>
      </c>
      <c r="B118" s="4" t="inlineStr">
        <is>
          <t>2023-12</t>
        </is>
      </c>
      <c r="C118" s="4" t="inlineStr">
        <is>
          <t>AEMO feedback loop confirmation</t>
        </is>
      </c>
      <c r="D118" s="4" t="inlineStr">
        <is>
          <t>reported, primary instrument unavailable</t>
        </is>
      </c>
      <c r="E118" s="4" t="inlineStr">
        <is>
          <t>AEMO provided feedback loop confirmation to Transgrid that the project addresses the identified need and aligns with the optimal development path in the most recent ISP. The notice itself was not captured.</t>
        </is>
      </c>
      <c r="F118" s="4" t="inlineStr">
        <is>
          <t>HUM-AEMO-2026-ISP-A5</t>
        </is>
      </c>
      <c r="G118" s="4" t="inlineStr">
        <is>
          <t>52</t>
        </is>
      </c>
    </row>
    <row r="119">
      <c r="A119" s="4" t="inlineStr">
        <is>
          <t>VNI West (Victoria)</t>
        </is>
      </c>
      <c r="B119" s="4" t="inlineStr">
        <is>
          <t>2024-06</t>
        </is>
      </c>
      <c r="C119" s="4" t="inlineStr">
        <is>
          <t>2024 ISP actionable project representation</t>
        </is>
      </c>
      <c r="D119" s="4" t="inlineStr">
        <is>
          <t>planner</t>
        </is>
      </c>
      <c r="E119" s="4" t="inlineStr">
        <is>
          <t>Option 1 scope published with $3,499m in 2020-21 dollars inclusive of $315m WRL, a $3,614m modelling conversion, Class 4 (± 30%), capacity North 1,935 MW / South 1,669 MW / V2 1,580 MW / V3 200 MW / N5 900 MW, and a December 2029 PACR capacity release date.</t>
        </is>
      </c>
      <c r="F119" s="4" t="inlineStr">
        <is>
          <t>HUM-AEMO-2024-ISP-A5</t>
        </is>
      </c>
      <c r="G119" s="4" t="inlineStr">
        <is>
          <t>44-45</t>
        </is>
      </c>
    </row>
    <row r="120">
      <c r="A120" s="4" t="inlineStr">
        <is>
          <t>VNI West (Victoria)</t>
        </is>
      </c>
      <c r="B120" s="4" t="inlineStr">
        <is>
          <t>2025</t>
        </is>
      </c>
      <c r="C120" s="4" t="inlineStr">
        <is>
          <t>EES final scoping requirements issued</t>
        </is>
      </c>
      <c r="D120" s="4" t="inlineStr">
        <is>
          <t>reported, primary instrument unavailable</t>
        </is>
      </c>
      <c r="E120" s="4" t="inlineStr">
        <is>
          <t>The Minister issued the final scoping requirements for the Environment Effects Statement for VNI West after considering public comments on the draft. The EES record itself is unavailable.</t>
        </is>
      </c>
      <c r="F120" s="4" t="inlineStr">
        <is>
          <t>HUM-AEMO-2026-ISP-A5</t>
        </is>
      </c>
      <c r="G120" s="4" t="inlineStr">
        <is>
          <t>52</t>
        </is>
      </c>
    </row>
    <row r="121">
      <c r="A121" s="4" t="inlineStr">
        <is>
          <t>VNI West (Victoria)</t>
        </is>
      </c>
      <c r="B121" s="4" t="inlineStr">
        <is>
          <t>2023-05-27</t>
        </is>
      </c>
      <c r="C121" s="4" t="inlineStr">
        <is>
          <t>VNI West and WRL Ministerial Order gazetted under s16Y NEVA</t>
        </is>
      </c>
      <c r="D121" s="4" t="inlineStr">
        <is>
          <t>primary instrument now archived</t>
        </is>
      </c>
      <c r="E121" s="4" t="inlineStr">
        <is>
          <t>Minister Lily D'Ambrosio made the Order under s16Y of the National Electricity (Victoria) Act 2005 on 26 May 2023, published in Special Gazette S267 on 27 May 2023 (having consulted the Premier, Treasurer and AEMO under s16ZA). Schedule 1 specifies Option 5A as the specified augmentation for VNI West: a new 500 kV double-circuit overhead line from a new terminal station near Kerang to Dinawan and to Bulgana Terminal Station, with two 500/220 kV 1,000 MVA transformers and up to +/- 400 MVAr dynamic reactive compensation at the Kerang terminal station, plus two new 500 kV bays at Bulgana Terminal Station. Schedule 2 specifies the WRL Uprate as the specified augmentation for WRL, including relocating the terminal station previously proposed for Mount Prospect (north of Ballarat) to Bulgana and uprating that segment from 220 kV to 500 kV.</t>
        </is>
      </c>
      <c r="F121" s="4" t="inlineStr">
        <is>
          <t>VNV-VIC-GAZETTE-2023-S267</t>
        </is>
      </c>
      <c r="G121" s="4" t="inlineStr">
        <is>
          <t>1, 3, 6-8</t>
        </is>
      </c>
    </row>
    <row r="122">
      <c r="A122" s="4" t="inlineStr">
        <is>
          <t>VNI West (Victoria)</t>
        </is>
      </c>
      <c r="B122" s="4" t="inlineStr">
        <is>
          <t>2024-06</t>
        </is>
      </c>
      <c r="C122" s="4" t="inlineStr">
        <is>
          <t>EPBC Act referral confirmed as a Controlled Action</t>
        </is>
      </c>
      <c r="D122" s="4" t="inlineStr">
        <is>
          <t>government</t>
        </is>
      </c>
      <c r="E122" s="4" t="inlineStr">
        <is>
          <t>The Commonwealth Minister for the Environment and Water confirmed VNI West is a 'Controlled Action' requiring assessment and approval under the Environment Protection and Biodiversity Conservation Act 1999, to be assessed under the bilateral agreement relying on Victoria's EES process.</t>
        </is>
      </c>
      <c r="F122" s="4" t="inlineStr">
        <is>
          <t>VNV-VNIW-2026-OVERVIEW</t>
        </is>
      </c>
      <c r="G122" s="4" t="inlineStr">
        <is>
          <t>web</t>
        </is>
      </c>
    </row>
    <row r="123">
      <c r="A123" s="4" t="inlineStr">
        <is>
          <t>VNI West (Victoria)</t>
        </is>
      </c>
      <c r="B123" s="4" t="inlineStr">
        <is>
          <t>2025-02-17</t>
        </is>
      </c>
      <c r="C123" s="4" t="inlineStr">
        <is>
          <t>Victorian electricity transmission licence granted</t>
        </is>
      </c>
      <c r="D123" s="4" t="inlineStr">
        <is>
          <t>regulatory approval</t>
        </is>
      </c>
      <c r="E123" s="4" t="inlineStr">
        <is>
          <t>The Essential Services Commission granted the VicGrid VNI West project a Victorian electricity transmission licence, following a public consultation process that ran from 5 September 2024 to 11 November 2024.</t>
        </is>
      </c>
      <c r="F123" s="4" t="inlineStr">
        <is>
          <t>VNV-VNIW-2026-OVERVIEW</t>
        </is>
      </c>
      <c r="G123" s="4" t="inlineStr">
        <is>
          <t>web</t>
        </is>
      </c>
    </row>
    <row r="124">
      <c r="A124" s="4" t="inlineStr">
        <is>
          <t>VNI West (Victoria)</t>
        </is>
      </c>
      <c r="B124" s="4" t="inlineStr">
        <is>
          <t>2025-11-01</t>
        </is>
      </c>
      <c r="C124" s="4" t="inlineStr">
        <is>
          <t>Victorian network functions transfer to VicGrid</t>
        </is>
      </c>
      <c r="D124" s="4" t="inlineStr">
        <is>
          <t>proponent change</t>
        </is>
      </c>
      <c r="E124" s="4" t="inlineStr">
        <is>
          <t>AEMO's Victorian network functions transferred to VicGrid Body Corporate, including responsibility for Transmission Company Victoria and the VNI West project.</t>
        </is>
      </c>
      <c r="F124" s="4" t="inlineStr">
        <is>
          <t>HUM-AEMO-2026-ISP-A5</t>
        </is>
      </c>
      <c r="G124" s="4" t="inlineStr">
        <is>
          <t>51</t>
        </is>
      </c>
    </row>
    <row r="125">
      <c r="A125" s="4" t="inlineStr">
        <is>
          <t>VNI West (Victoria)</t>
        </is>
      </c>
      <c r="B125" s="4" t="inlineStr">
        <is>
          <t>2025-11</t>
        </is>
      </c>
      <c r="C125" s="4" t="inlineStr">
        <is>
          <t>Iberdrola design and development award</t>
        </is>
      </c>
      <c r="D125" s="4" t="inlineStr">
        <is>
          <t>proponent</t>
        </is>
      </c>
      <c r="E125" s="4" t="inlineStr">
        <is>
          <t>Iberdrola awarded the contract to design and develop the project in collaboration with TCV and subsequently submit a proposal to build, own and operate the transmission line.</t>
        </is>
      </c>
      <c r="F125" s="4" t="inlineStr">
        <is>
          <t>HUM-AEMO-2026-ISP-A5</t>
        </is>
      </c>
      <c r="G125" s="4" t="inlineStr">
        <is>
          <t>52</t>
        </is>
      </c>
    </row>
    <row r="126">
      <c r="A126" s="4" t="inlineStr">
        <is>
          <t>VNI West (Victoria)</t>
        </is>
      </c>
      <c r="B126" s="4" t="inlineStr">
        <is>
          <t>2026-06</t>
        </is>
      </c>
      <c r="C126" s="4" t="inlineStr">
        <is>
          <t>NSW Government South West NSW REZ investment announcement</t>
        </is>
      </c>
      <c r="D126" s="4" t="inlineStr">
        <is>
          <t>government</t>
        </is>
      </c>
      <c r="E126" s="4" t="inlineStr">
        <is>
          <t>NSW announced investment to support critical grid upgrades for the South West New South Wales REZ; the component is accordingly categorised as an actionable NSW project under the Electricity Infrastructure Investment Act 2020 (NSW).</t>
        </is>
      </c>
      <c r="F126" s="4" t="inlineStr">
        <is>
          <t>HUM-AEMO-2026-ISP-A5</t>
        </is>
      </c>
      <c r="G126" s="4" t="inlineStr">
        <is>
          <t>51</t>
        </is>
      </c>
    </row>
    <row r="127">
      <c r="A127" s="4" t="inlineStr">
        <is>
          <t>VNI West (Victoria)</t>
        </is>
      </c>
      <c r="B127" s="4" t="inlineStr">
        <is>
          <t>2026-06</t>
        </is>
      </c>
      <c r="C127" s="4" t="inlineStr">
        <is>
          <t>2026 ISP representation</t>
        </is>
      </c>
      <c r="D127" s="4" t="inlineStr">
        <is>
          <t>current planner evidence</t>
        </is>
      </c>
      <c r="E127" s="4" t="inlineStr">
        <is>
          <t>VNI West remains actionable; AEMO reconfirms single integrated delivery rather than staging the South West NSW REZ component; reported cost $7,600m ($2025) Class 4 (-30%/+50%) for 'South West NSW REZ + Interconnector', of which $565m is approved early works and other incurred costs; VIC-NSW timing advised as November 2031.</t>
        </is>
      </c>
      <c r="F127" s="4" t="inlineStr">
        <is>
          <t>HUM-AEMO-2026-ISP-A5</t>
        </is>
      </c>
      <c r="G127" s="4" t="inlineStr">
        <is>
          <t>51-53</t>
        </is>
      </c>
    </row>
    <row r="128">
      <c r="A128" s="4" t="inlineStr">
        <is>
          <t>VNI West (Victoria)</t>
        </is>
      </c>
      <c r="B128" s="4" t="inlineStr">
        <is>
          <t>2022-07</t>
        </is>
      </c>
      <c r="C128" s="4" t="inlineStr">
        <is>
          <t>VNI West RIT-T Project Assessment Draft Report (PADR) published</t>
        </is>
      </c>
      <c r="D128" s="4" t="inlineStr">
        <is>
          <t>planner, primary instrument now archived</t>
        </is>
      </c>
      <c r="E128" s="4" t="inlineStr">
        <is>
          <t>AVP and Transgrid published the joint VNI West PADR (dated 29 July 2022 per the later s16Y Order's definitions). It assessed two credible options and preferred Option 1 (VNI West, via north of Ballarat - near Bendigo - near Kerang - Dinawan) over Option 2 (a Victorian Transmission Link brought forward ahead of VNI West): approximately 400 km of double-circuit 500 kV line at an estimated capital cost of $3,256m (FY2020-21 dollars, Class 4, ±30%; $1,605m Victoria / $1,651m New South Wales), with indicative transfer capacity +1,930 MW Victoria to NSW and +1,800 MW NSW to Victoria. This preferred route was later superseded by Option 5A in the May 2023 PACR.</t>
        </is>
      </c>
      <c r="F128" s="4" t="inlineStr">
        <is>
          <t>VNV-TRANSGRID-2022-PADR</t>
        </is>
      </c>
      <c r="G128" s="4" t="inlineStr">
        <is>
          <t>1, 53, 95</t>
        </is>
      </c>
    </row>
    <row r="129">
      <c r="A129" s="4" t="inlineStr">
        <is>
          <t>VNI West (Victoria)</t>
        </is>
      </c>
      <c r="B129" s="4" t="inlineStr">
        <is>
          <t>2023-02-20</t>
        </is>
      </c>
      <c r="C129" s="4" t="inlineStr">
        <is>
          <t>Original VNI West and WRL Ministerial Order gazetted under s16Y NEVA</t>
        </is>
      </c>
      <c r="D129" s="4" t="inlineStr">
        <is>
          <t>primary instrument now archived</t>
        </is>
      </c>
      <c r="E129" s="4" t="inlineStr">
        <is>
          <t>Minister Lily D'Ambrosio made the first s16Y Order dated 15 February 2023, published in Special Gazette S60 on 20 February 2023, ahead of the RIT-T's conclusion. It specified VNI West (a new high-capacity transmission line connecting WRL with Project EnergyConnect, per the PADR/PACR identified need) and WRL as specified augmentations, and conferred functions on AEMO including assessing alternate options (alternate routes, nodes, terminal stations and network design) and commencing early works, ahead of a further order or the VNI West construction agreement. This order was replaced by the 27 May 2023 Order once Option 5A was confirmed as preferred.</t>
        </is>
      </c>
      <c r="F129" s="4" t="inlineStr">
        <is>
          <t>VNV-VIC-GAZETTE-2023-S060</t>
        </is>
      </c>
      <c r="G129" s="4" t="inlineStr">
        <is>
          <t>1, 3</t>
        </is>
      </c>
    </row>
    <row r="130">
      <c r="A130" s="4" t="inlineStr">
        <is>
          <t>VNI West (Victoria)</t>
        </is>
      </c>
      <c r="B130" s="4" t="inlineStr">
        <is>
          <t>2024-11-08</t>
        </is>
      </c>
      <c r="C130" s="4" t="inlineStr">
        <is>
          <t>CEO VicGrid to assist AEMO (VNI West) Ministerial Order gazetted</t>
        </is>
      </c>
      <c r="D130" s="4" t="inlineStr">
        <is>
          <t>primary instrument now archived</t>
        </is>
      </c>
      <c r="E130" s="4" t="inlineStr">
        <is>
          <t>Minister Lily D'Ambrosio made a further s16Y Order dated 4 November 2024, published in Special Gazette S605 on 8 November 2024 (a matching order was also made for WRL), amending the 20 February 2023 and 27 May 2023 Orders to confer functions on the CEO VicGrid to assist AEMO in carrying out VNI West functions, ahead of VicGrid's later assumption of AEMO's Victorian network functions.</t>
        </is>
      </c>
      <c r="F130" s="4" t="inlineStr">
        <is>
          <t>VNV-VIC-GAZETTE-2024-S605</t>
        </is>
      </c>
      <c r="G130" s="4" t="inlineStr">
        <is>
          <t>1, 5</t>
        </is>
      </c>
    </row>
    <row r="131">
      <c r="A131" s="4" t="inlineStr">
        <is>
          <t>VNI West (Victoria)</t>
        </is>
      </c>
      <c r="B131" s="4" t="inlineStr">
        <is>
          <t>2025-10-28</t>
        </is>
      </c>
      <c r="C131" s="4" t="inlineStr">
        <is>
          <t>Special Orders substitute VicGrid for AEMO/CEO VicGrid across the VNI West and WRL Ministerial Orders</t>
        </is>
      </c>
      <c r="D131" s="4" t="inlineStr">
        <is>
          <t>primary instrument now archived</t>
        </is>
      </c>
      <c r="E131" s="4" t="inlineStr">
        <is>
          <t>Minister Lily D'Ambrosio made four Special Orders under s16ZHA of the Act, each dated 15 October 2025 and published in Special Gazette S590 on 28 October 2025, commencing 1 November 2025: amending the 20 February 2023 Order (S60), the 27 May 2023 Order (S267), and both CEO VicGrid Orders of 8 November 2024 (S605, VNI West and WRL) to substitute 'VicGrid' (now the VicGrid Body Corporate established under the State Owned Enterprises Act 1992) for 'AEMO'/'CEO VicGrid' throughout, reflecting VicGrid's assumption of AEMO's Victorian network functions. This is the primary legal instrument for the 1 November 2025 transfer already reported by the 2026 ISP.</t>
        </is>
      </c>
      <c r="F131" s="4" t="inlineStr">
        <is>
          <t>VNV-VIC-GAZETTE-2025-S590</t>
        </is>
      </c>
      <c r="G131" s="4" t="inlineStr">
        <is>
          <t>1-5</t>
        </is>
      </c>
    </row>
    <row r="132">
      <c r="A132" s="4" t="inlineStr">
        <is>
          <t>Western Renewables Link</t>
        </is>
      </c>
      <c r="B132" s="4" t="inlineStr">
        <is>
          <t>2019-07</t>
        </is>
      </c>
      <c r="C132" s="4" t="inlineStr">
        <is>
          <t>Western Victoria Renewable Integration RIT-T completed</t>
        </is>
      </c>
      <c r="D132" s="4" t="inlineStr">
        <is>
          <t>decision (underlying record unavailable)</t>
        </is>
      </c>
      <c r="E132" s="4" t="inlineStr">
        <is>
          <t>AEMO records that a RIT-T was completed in July 2019; the original design was 600 MW. The PACR itself was not acquired.</t>
        </is>
      </c>
      <c r="F132" s="4" t="inlineStr">
        <is>
          <t>HUM-AEMO-2026-ISP-A5</t>
        </is>
      </c>
      <c r="G132" s="4" t="inlineStr">
        <is>
          <t>24</t>
        </is>
      </c>
    </row>
    <row r="133">
      <c r="A133" s="4" t="inlineStr">
        <is>
          <t>Western Renewables Link</t>
        </is>
      </c>
      <c r="B133" s="4" t="inlineStr">
        <is>
          <t>2021</t>
        </is>
      </c>
      <c r="C133" s="4" t="inlineStr">
        <is>
          <t>NCIPAP minor 220 kV augmentations completed</t>
        </is>
      </c>
      <c r="D133" s="4" t="inlineStr">
        <is>
          <t>delivered (related works)</t>
        </is>
      </c>
      <c r="E133" s="4" t="inlineStr">
        <is>
          <t>Minor line augmentations on Red Cliffs-Wemen-Kerang-Bendigo and Moorabool-Terang-Ballarat 220 kV lines completed through AusNet Services NCIPAP.</t>
        </is>
      </c>
      <c r="F133" s="4" t="inlineStr">
        <is>
          <t>HUM-AEMO-2026-ISP-A5</t>
        </is>
      </c>
      <c r="G133" s="4" t="inlineStr">
        <is>
          <t>24</t>
        </is>
      </c>
    </row>
    <row r="134">
      <c r="A134" s="4" t="inlineStr">
        <is>
          <t>Western Renewables Link</t>
        </is>
      </c>
      <c r="B134" s="4" t="inlineStr">
        <is>
          <t>2023-05</t>
        </is>
      </c>
      <c r="C134" s="4" t="inlineStr">
        <is>
          <t>WRL scope and timing augmented via VNI West PACR and NEVA order</t>
        </is>
      </c>
      <c r="D134" s="4" t="inlineStr">
        <is>
          <t>scope version change</t>
        </is>
      </c>
      <c r="E134" s="4" t="inlineStr">
        <is>
          <t>North Ballarat terminal station relocated to Bulgana and the line from north of Ballarat to Bulgana uprated from 220 kV to 500 kV; capacity moves from 600 MW design to 1,460 MW. Underlying VNI West PACR remains unarchived; the NEVA order is now archived (VNV-VIC-GAZETTE-2023-S267, Special Gazette S267, 27 May 2023) - see the 2023-05-27 timeline entry.</t>
        </is>
      </c>
      <c r="F134" s="4" t="inlineStr">
        <is>
          <t>HUM-AEMO-2026-ISP-A5</t>
        </is>
      </c>
      <c r="G134" s="4" t="inlineStr">
        <is>
          <t>24</t>
        </is>
      </c>
    </row>
    <row r="135">
      <c r="A135" s="4" t="inlineStr">
        <is>
          <t>Western Renewables Link</t>
        </is>
      </c>
      <c r="B135" s="4" t="inlineStr">
        <is>
          <t>2019-07-19</t>
        </is>
      </c>
      <c r="C135" s="4" t="inlineStr">
        <is>
          <t>WRL PACR published by AEMO (precise date)</t>
        </is>
      </c>
      <c r="D135" s="4" t="inlineStr">
        <is>
          <t>decision (underlying record still unavailable)</t>
        </is>
      </c>
      <c r="E135" s="4" t="inlineStr">
        <is>
          <t>The VNI West and WRL Ministerial Order defines 'WRL PACR' as 'the Western Victoria Renewable Integration Project Assessment Conclusion Report published by AEMO on 19 July 2019.' The PACR document itself remains unarchived; see SOURCE_UNAVAILABLE.</t>
        </is>
      </c>
      <c r="F135" s="4" t="inlineStr">
        <is>
          <t>VNV-VIC-GAZETTE-2023-S267</t>
        </is>
      </c>
      <c r="G135" s="4" t="inlineStr">
        <is>
          <t>2</t>
        </is>
      </c>
    </row>
    <row r="136">
      <c r="A136" s="4" t="inlineStr">
        <is>
          <t>Western Renewables Link</t>
        </is>
      </c>
      <c r="B136" s="4" t="inlineStr">
        <is>
          <t>2023-05-27</t>
        </is>
      </c>
      <c r="C136" s="4" t="inlineStr">
        <is>
          <t>VNI West and WRL Ministerial Order made under s16Y of the Electricity (Victoria) Act 2005, published as Special Gazette S267</t>
        </is>
      </c>
      <c r="D136" s="4" t="inlineStr">
        <is>
          <t>legal instrument (NEVA order)</t>
        </is>
      </c>
      <c r="E136" s="4" t="inlineStr">
        <is>
          <t>Order dated 26 May 2023, published 27 May 2023. Schedule 2 specifies the WRL Uprate augmentation: a new 500 kV double-circuit line from Sydenham Terminal Station to Bulgana Terminal Station with two new 500/220 kV 1,000 MVA transformers at a new Bulgana switchyard, plus works at Sydenham, Ballarat and Elaine Terminal Stations. The reasons state the WRL segment from Mount Prospect ('north of Ballarat') to Bulgana was to be uprated from 220 kV to 500 kV and the Mount Prospect terminal site relocated to Bulgana, enabling additional generation capacity in Western Victoria 'by as early as 2027'. This order is the legal source underlying AEMO's later 2024/2026 ISP scope summaries.</t>
        </is>
      </c>
      <c r="F136" s="4" t="inlineStr">
        <is>
          <t>VNV-VIC-GAZETTE-2023-S267</t>
        </is>
      </c>
      <c r="G136" s="4" t="inlineStr">
        <is>
          <t>3, 8, 12-13</t>
        </is>
      </c>
    </row>
    <row r="137">
      <c r="A137" s="4" t="inlineStr">
        <is>
          <t>Western Renewables Link</t>
        </is>
      </c>
      <c r="B137" s="4" t="inlineStr">
        <is>
          <t>2024-06</t>
        </is>
      </c>
      <c r="C137" s="4" t="inlineStr">
        <is>
          <t>AEMO 2024 ISP representation, project renamed</t>
        </is>
      </c>
      <c r="D137" s="4" t="inlineStr">
        <is>
          <t>planner representation (superseded)</t>
        </is>
      </c>
      <c r="E137" s="4" t="inlineStr">
        <is>
          <t>Recorded as Western Renewables Link (uprated), formerly named Western Victoria Transmission Network Project; anticipated, 1,460 MW, expected completion mid-2027 with July 2027 full capacity after testing.</t>
        </is>
      </c>
      <c r="F137" s="4" t="inlineStr">
        <is>
          <t>HUM-AEMO-2024-ISP-A5</t>
        </is>
      </c>
      <c r="G137" s="4" t="inlineStr">
        <is>
          <t>19</t>
        </is>
      </c>
    </row>
    <row r="138">
      <c r="A138" s="4" t="inlineStr">
        <is>
          <t>Western Renewables Link</t>
        </is>
      </c>
      <c r="B138" s="4" t="inlineStr">
        <is>
          <t>2025-11-01</t>
        </is>
      </c>
      <c r="C138" s="4" t="inlineStr">
        <is>
          <t>Victorian transmission planning responsibility transferred to VicGrid</t>
        </is>
      </c>
      <c r="D138" s="4" t="inlineStr">
        <is>
          <t>governance change</t>
        </is>
      </c>
      <c r="E138" s="4" t="inlineStr">
        <is>
          <t>Transmission network planning responsibilities transitioned from AEMO, through AEMO Victorian Planning, to VicGrid. This does not by itself establish WRL ownership.</t>
        </is>
      </c>
      <c r="F138" s="4" t="inlineStr">
        <is>
          <t>HUM-AEMO-2026-ISP-A5</t>
        </is>
      </c>
      <c r="G138" s="4" t="inlineStr">
        <is>
          <t>36</t>
        </is>
      </c>
    </row>
    <row r="139">
      <c r="A139" s="4" t="inlineStr">
        <is>
          <t>Western Renewables Link</t>
        </is>
      </c>
      <c r="B139" s="4" t="inlineStr">
        <is>
          <t>2026-03-03</t>
        </is>
      </c>
      <c r="C139" s="4" t="inlineStr">
        <is>
          <t>WRL EES public hearing concluded</t>
        </is>
      </c>
      <c r="D139" s="4" t="inlineStr">
        <is>
          <t>proponent-reported milestone</t>
        </is>
      </c>
      <c r="E139" s="4" t="inlineStr">
        <is>
          <t>AusNet states the WRL Environment Effects Statement public hearing concluded on 3 March 2026; no outcome or approval is stated and no EES record is archived.</t>
        </is>
      </c>
      <c r="F139" s="4" t="inlineStr">
        <is>
          <t>WRL-AUSNET-PROJECT</t>
        </is>
      </c>
      <c r="G139" s="4" t="inlineStr">
        <is>
          <t>derivative line 75</t>
        </is>
      </c>
    </row>
    <row r="140">
      <c r="A140" s="4" t="inlineStr">
        <is>
          <t>Western Renewables Link</t>
        </is>
      </c>
      <c r="B140" s="4" t="inlineStr">
        <is>
          <t>2026-06</t>
        </is>
      </c>
      <c r="C140" s="4" t="inlineStr">
        <is>
          <t>AEMO 2026 ISP representation</t>
        </is>
      </c>
      <c r="D140" s="4" t="inlineStr">
        <is>
          <t>current planner evidence</t>
        </is>
      </c>
      <c r="E140" s="4" t="inlineStr">
        <is>
          <t>Anticipated project, 500 kV double-circuit Bulgana to Sydenham, 1,460 MW harnessed, 695 MW additional MEL-WNV network capacity, V2 310 MW, expected completion November 2029, no reported cost.</t>
        </is>
      </c>
      <c r="F140" s="4" t="inlineStr">
        <is>
          <t>HUM-AEMO-2026-ISP-A5</t>
        </is>
      </c>
      <c r="G140" s="4" t="inlineStr">
        <is>
          <t>24-25</t>
        </is>
      </c>
    </row>
    <row r="141">
      <c r="A141" s="4" t="inlineStr">
        <is>
          <t>Western Renewables Link</t>
        </is>
      </c>
      <c r="B141" s="4" t="inlineStr">
        <is>
          <t>2025-12-12</t>
        </is>
      </c>
      <c r="C141" s="4" t="inlineStr">
        <is>
          <t>AusNet appoints ACCIONA Genus Joint Venture as WRL construction contractor</t>
        </is>
      </c>
      <c r="D141" s="4" t="inlineStr">
        <is>
          <t>proponent-reported milestone</t>
        </is>
      </c>
      <c r="E141" s="4" t="inlineStr">
        <is>
          <t>AusNet announces appointment of a joint venture between ACCIONA and Genus to undertake WRL construction works, and describes the line as a proposed 190-kilometre 500 kV overhead line from near Bulgana to Sydenham. Construction can proceed if the project receives the necessary planning approvals; no cost figure is stated on the release.</t>
        </is>
      </c>
      <c r="F141" s="4" t="inlineStr">
        <is>
          <t>WRL-AUSNET-2025-CONTRACTOR</t>
        </is>
      </c>
      <c r="G141" s="4" t="inlineStr">
        <is>
          <t>web</t>
        </is>
      </c>
    </row>
    <row r="142">
      <c r="A142" s="4" t="inlineStr">
        <is>
          <t>Western Renewables Link</t>
        </is>
      </c>
      <c r="B142" s="4" t="inlineStr">
        <is>
          <t>2026-09-03</t>
        </is>
      </c>
      <c r="C142" s="4" t="inlineStr">
        <is>
          <t>AusNet project webpage captured</t>
        </is>
      </c>
      <c r="D142" s="4" t="inlineStr">
        <is>
          <t>proponent record</t>
        </is>
      </c>
      <c r="E142" s="4" t="inlineStr">
        <is>
          <t>States a proposed 190 km Bulgana to Sydenham line and capability of more than 3,000 MW; gives no estimate and no completion date.</t>
        </is>
      </c>
      <c r="F142" s="4" t="inlineStr">
        <is>
          <t>WRL-AUSNET-PROJECT</t>
        </is>
      </c>
      <c r="G142" s="4" t="inlineStr">
        <is>
          <t>derivative lines 41, 49, 75</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97"/>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0" customWidth="1" min="3" max="3"/>
    <col width="55" customWidth="1" min="4" max="4"/>
    <col width="16" customWidth="1" min="5" max="5"/>
    <col width="26" customWidth="1" min="6" max="6"/>
    <col width="40" customWidth="1" min="7" max="7"/>
    <col width="46" customWidth="1" min="8" max="8"/>
    <col width="46" customWidth="1" min="9" max="9"/>
    <col width="68" customWidth="1" min="10" max="10"/>
    <col width="12" customWidth="1" min="11" max="11"/>
  </cols>
  <sheetData>
    <row r="1" ht="38" customHeight="1">
      <c r="A1" s="1" t="inlineStr">
        <is>
          <t>Source register</t>
        </is>
      </c>
    </row>
    <row r="2" ht="26" customHeight="1">
      <c r="A2" s="2" t="inlineStr">
        <is>
          <t>Every capture cited by a pack, hash-verified against its manifest row. Shared AEMO captures appear once.</t>
        </is>
      </c>
    </row>
    <row r="4" ht="30" customHeight="1">
      <c r="A4" s="3" t="inlineStr">
        <is>
          <t>Source ID</t>
        </is>
      </c>
      <c r="B4" s="3" t="inlineStr">
        <is>
          <t>Cited by</t>
        </is>
      </c>
      <c r="C4" s="3" t="inlineStr">
        <is>
          <t>Publisher</t>
        </is>
      </c>
      <c r="D4" s="3" t="inlineStr">
        <is>
          <t>Title</t>
        </is>
      </c>
      <c r="E4" s="3" t="inlineStr">
        <is>
          <t>Publication date</t>
        </is>
      </c>
      <c r="F4" s="3" t="inlineStr">
        <is>
          <t>Document type</t>
        </is>
      </c>
      <c r="G4" s="3" t="inlineStr">
        <is>
          <t>Original URL</t>
        </is>
      </c>
      <c r="H4" s="3" t="inlineStr">
        <is>
          <t>Archive path</t>
        </is>
      </c>
      <c r="I4" s="3" t="inlineStr">
        <is>
          <t>Derivative path</t>
        </is>
      </c>
      <c r="J4" s="3" t="inlineStr">
        <is>
          <t>SHA-256</t>
        </is>
      </c>
      <c r="K4" s="3" t="inlineStr">
        <is>
          <t>Hash</t>
        </is>
      </c>
    </row>
    <row r="5">
      <c r="A5" s="4" t="inlineStr">
        <is>
          <t>ATE15-EC-FUND-1</t>
        </is>
      </c>
      <c r="B5" s="4" t="inlineStr">
        <is>
          <t>VNI West (South West NSW REZ component)</t>
        </is>
      </c>
      <c r="C5" s="4" t="inlineStr">
        <is>
          <t>EnergyCo NSW</t>
        </is>
      </c>
      <c r="D5" s="4" t="inlineStr">
        <is>
          <t>$225 million South West REZ investment announcement</t>
        </is>
      </c>
      <c r="E5" s="4" t="inlineStr"/>
      <c r="F5" s="4" t="inlineStr">
        <is>
          <t>government funding announcement</t>
        </is>
      </c>
      <c r="G5" s="7" t="inlineStr">
        <is>
          <t>https://www.energyco.nsw.gov.au/225-million-south-west-rez-investment-secure-nsw-energy-future</t>
        </is>
      </c>
      <c r="H5" s="4" t="inlineStr">
        <is>
          <t>sources/vni-west-nsw/originals/energyco-vni-west-funding.html</t>
        </is>
      </c>
      <c r="I5" s="4" t="inlineStr">
        <is>
          <t>sources/vni-west-nsw/text/energyco-funding-1.txt</t>
        </is>
      </c>
      <c r="J5" s="4" t="inlineStr">
        <is>
          <t>b6f15d5c05e8d6e66b5ebea801b7c97f38e24525c14e01af67d184b1085cc741</t>
        </is>
      </c>
      <c r="K5" s="4" t="inlineStr">
        <is>
          <t>verified</t>
        </is>
      </c>
    </row>
    <row r="6">
      <c r="A6" s="4" t="inlineStr">
        <is>
          <t>CWO-01</t>
        </is>
      </c>
      <c r="B6" s="4" t="inlineStr">
        <is>
          <t>Central-West Orana Renewable Energy Zone</t>
        </is>
      </c>
      <c r="C6" s="4" t="inlineStr">
        <is>
          <t>AEMO</t>
        </is>
      </c>
      <c r="D6" s="4" t="inlineStr">
        <is>
          <t>2020 Integrated System Plan, Appendix 3: Network Investments</t>
        </is>
      </c>
      <c r="E6" s="4" t="inlineStr">
        <is>
          <t>2020-07-30</t>
        </is>
      </c>
      <c r="F6" s="4" t="inlineStr">
        <is>
          <t>ISP appendix</t>
        </is>
      </c>
      <c r="G6" s="7" t="inlineStr">
        <is>
          <t>https://www.aemo.com.au/-/media/files/major-publications/isp/2020/appendix--3.pdf</t>
        </is>
      </c>
      <c r="H6" s="4" t="inlineStr">
        <is>
          <t>sources/central-west-orana/cwo-01-aemo-2020-isp-appendix-3.pdf</t>
        </is>
      </c>
      <c r="I6" s="4" t="inlineStr">
        <is>
          <t>sources/central-west-orana/cwo-01-aemo-2020-isp-appendix-3.txt</t>
        </is>
      </c>
      <c r="J6" s="4" t="inlineStr">
        <is>
          <t>285a01a1df766879e95d4c4bcad4044b7acfade3dfb01b1c905f5805fc877bdf</t>
        </is>
      </c>
      <c r="K6" s="4" t="inlineStr">
        <is>
          <t>verified</t>
        </is>
      </c>
    </row>
    <row r="7">
      <c r="A7" s="4" t="inlineStr">
        <is>
          <t>CWO-02</t>
        </is>
      </c>
      <c r="B7" s="4" t="inlineStr">
        <is>
          <t>Central-West Orana Renewable Energy Zone</t>
        </is>
      </c>
      <c r="C7" s="4" t="inlineStr">
        <is>
          <t>NSW Government</t>
        </is>
      </c>
      <c r="D7" s="4" t="inlineStr">
        <is>
          <t>Renewable Energy Zone (Central-West Orana) Order 2021</t>
        </is>
      </c>
      <c r="E7" s="4" t="inlineStr">
        <is>
          <t>2021-11-05</t>
        </is>
      </c>
      <c r="F7" s="4" t="inlineStr">
        <is>
          <t>ministerial declaration</t>
        </is>
      </c>
      <c r="G7" s="7" t="inlineStr">
        <is>
          <t>https://www.energyco.nsw.gov.au/sites/default/files/2025-06/central-west-orana-rez-declaration-order-november-2021.pdf</t>
        </is>
      </c>
      <c r="H7" s="4" t="inlineStr">
        <is>
          <t>sources/central-west-orana/cwo-02-nsw-gazette-2021-569-declaration.pdf</t>
        </is>
      </c>
      <c r="I7" s="4" t="inlineStr">
        <is>
          <t>sources/central-west-orana/cwo-02-nsw-gazette-2021-569-declaration.txt</t>
        </is>
      </c>
      <c r="J7" s="4" t="inlineStr">
        <is>
          <t>18449682ae305fd9ca8912d8feaf52026bfd501bad0692e6af23a82e3ef11f00</t>
        </is>
      </c>
      <c r="K7" s="4" t="inlineStr">
        <is>
          <t>verified</t>
        </is>
      </c>
    </row>
    <row r="8">
      <c r="A8" s="4" t="inlineStr">
        <is>
          <t>CWO-04</t>
        </is>
      </c>
      <c r="B8" s="4" t="inlineStr">
        <is>
          <t>Central-West Orana Renewable Energy Zone; Hunter Transmission Project; New England REZ Network Infrastructure Project</t>
        </is>
      </c>
      <c r="C8" s="4" t="inlineStr">
        <is>
          <t>EnergyCo NSW</t>
        </is>
      </c>
      <c r="D8" s="4" t="inlineStr">
        <is>
          <t>Network Infrastructure Strategy for NSW</t>
        </is>
      </c>
      <c r="E8" s="4" t="inlineStr">
        <is>
          <t>2023-05-01</t>
        </is>
      </c>
      <c r="F8" s="4" t="inlineStr">
        <is>
          <t>strategy</t>
        </is>
      </c>
      <c r="G8" s="7" t="inlineStr">
        <is>
          <t>https://www.energyco.nsw.gov.au/sites/default/files/2023-05/network-infrastructure-strategy.pdf</t>
        </is>
      </c>
      <c r="H8" s="4" t="inlineStr">
        <is>
          <t>sources/central-west-orana/cwo-04-energyco-2023-network-infrastructure-strategy.pdf</t>
        </is>
      </c>
      <c r="I8" s="4" t="inlineStr">
        <is>
          <t>sources/central-west-orana/cwo-04-energyco-2023-network-infrastructure-strategy.txt</t>
        </is>
      </c>
      <c r="J8" s="4" t="inlineStr">
        <is>
          <t>10b8fac054a4823c555a98589ce9e257e73f6c58d15b02f086320e08353fa03a</t>
        </is>
      </c>
      <c r="K8" s="4" t="inlineStr">
        <is>
          <t>verified</t>
        </is>
      </c>
    </row>
    <row r="9">
      <c r="A9" s="4" t="inlineStr">
        <is>
          <t>CWO-05</t>
        </is>
      </c>
      <c r="B9" s="4" t="inlineStr">
        <is>
          <t>Central-West Orana Renewable Energy Zone</t>
        </is>
      </c>
      <c r="C9" s="4" t="inlineStr">
        <is>
          <t>EnergyCo NSW</t>
        </is>
      </c>
      <c r="D9" s="4" t="inlineStr">
        <is>
          <t>Network Infrastructure Strategy for NSW, Appendix B</t>
        </is>
      </c>
      <c r="E9" s="4" t="inlineStr">
        <is>
          <t>2023-05-01</t>
        </is>
      </c>
      <c r="F9" s="4" t="inlineStr">
        <is>
          <t>strategy appendix</t>
        </is>
      </c>
      <c r="G9" s="7" t="inlineStr">
        <is>
          <t>https://www.energyco.nsw.gov.au/sites/default/files/2023-05/appendix-b-network-infrastructure-strategy.pdf</t>
        </is>
      </c>
      <c r="H9" s="4" t="inlineStr">
        <is>
          <t>sources/central-west-orana/cwo-05-energyco-2023-network-infrastructure-strategy-appendix-b.pdf</t>
        </is>
      </c>
      <c r="I9" s="4" t="inlineStr">
        <is>
          <t>sources/central-west-orana/cwo-05-energyco-2023-network-infrastructure-strategy-appendix-b.txt</t>
        </is>
      </c>
      <c r="J9" s="4" t="inlineStr">
        <is>
          <t>fa778f02762732e4ab9befa524861618b2a39d4e6764c99aea679a7ec36015e3</t>
        </is>
      </c>
      <c r="K9" s="4" t="inlineStr">
        <is>
          <t>verified</t>
        </is>
      </c>
    </row>
    <row r="10">
      <c r="A10" s="4" t="inlineStr">
        <is>
          <t>CWO-06</t>
        </is>
      </c>
      <c r="B10" s="4" t="inlineStr">
        <is>
          <t>Central-West Orana Renewable Energy Zone</t>
        </is>
      </c>
      <c r="C10" s="4" t="inlineStr">
        <is>
          <t>NSW Government</t>
        </is>
      </c>
      <c r="D10" s="4" t="inlineStr">
        <is>
          <t>Renewable Energy Zone (Central-West Orana) Order 2023</t>
        </is>
      </c>
      <c r="E10" s="4" t="inlineStr">
        <is>
          <t>2023-12-15</t>
        </is>
      </c>
      <c r="F10" s="4" t="inlineStr">
        <is>
          <t>ministerial amendment</t>
        </is>
      </c>
      <c r="G10" s="7" t="inlineStr">
        <is>
          <t>https://gazette.nsw.gov.au/gazette/2023/12/2023-580.pdf</t>
        </is>
      </c>
      <c r="H10" s="4" t="inlineStr">
        <is>
          <t>sources/central-west-orana/cwo-06-nsw-gazette-2023-580-capacity-amendment.pdf</t>
        </is>
      </c>
      <c r="I10" s="4" t="inlineStr">
        <is>
          <t>sources/central-west-orana/cwo-06-nsw-gazette-2023-580-capacity-amendment.txt</t>
        </is>
      </c>
      <c r="J10" s="4" t="inlineStr">
        <is>
          <t>54f7cc691d9c611f2d0e74ee245f63255cbae9e5b58dd3dbe75f705e643cb8f5</t>
        </is>
      </c>
      <c r="K10" s="4" t="inlineStr">
        <is>
          <t>verified</t>
        </is>
      </c>
    </row>
    <row r="11">
      <c r="A11" s="4" t="inlineStr">
        <is>
          <t>CWO-07</t>
        </is>
      </c>
      <c r="B11" s="4" t="inlineStr">
        <is>
          <t>Central-West Orana Renewable Energy Zone</t>
        </is>
      </c>
      <c r="C11" s="4" t="inlineStr">
        <is>
          <t>NSW Government</t>
        </is>
      </c>
      <c r="D11" s="4" t="inlineStr">
        <is>
          <t>Renewable Energy Zone (Central-West Orana) Access Scheme (Amendment) Order 2024</t>
        </is>
      </c>
      <c r="E11" s="4" t="inlineStr">
        <is>
          <t>2024-04-05</t>
        </is>
      </c>
      <c r="F11" s="4" t="inlineStr">
        <is>
          <t>access-scheme amendment</t>
        </is>
      </c>
      <c r="G11" s="7" t="inlineStr">
        <is>
          <t>https://gazette.nsw.gov.au/gazette/2024/4/2024-116.pdf</t>
        </is>
      </c>
      <c r="H11" s="4" t="inlineStr">
        <is>
          <t>sources/central-west-orana/cwo-07-nsw-gazette-2024-116-access-scheme-amendment.pdf</t>
        </is>
      </c>
      <c r="I11" s="4" t="inlineStr">
        <is>
          <t>sources/central-west-orana/cwo-07-nsw-gazette-2024-116-access-scheme-amendment.txt</t>
        </is>
      </c>
      <c r="J11" s="4" t="inlineStr">
        <is>
          <t>fa2cc46d638eb77c108eddbf35c35009adc082bf562a7817b718bfcd58d5c1f7</t>
        </is>
      </c>
      <c r="K11" s="4" t="inlineStr">
        <is>
          <t>verified</t>
        </is>
      </c>
    </row>
    <row r="12">
      <c r="A12" s="4" t="inlineStr">
        <is>
          <t>CWO-08</t>
        </is>
      </c>
      <c r="B12" s="4" t="inlineStr">
        <is>
          <t>Central-West Orana Renewable Energy Zone</t>
        </is>
      </c>
      <c r="C12" s="4" t="inlineStr">
        <is>
          <t>NSW Government</t>
        </is>
      </c>
      <c r="D12" s="4" t="inlineStr">
        <is>
          <t>Renewable Energy Zone (Central-West Orana) Order 2024</t>
        </is>
      </c>
      <c r="E12" s="4" t="inlineStr">
        <is>
          <t>2024-04-19</t>
        </is>
      </c>
      <c r="F12" s="4" t="inlineStr">
        <is>
          <t>ministerial amendment</t>
        </is>
      </c>
      <c r="G12" s="7" t="inlineStr">
        <is>
          <t>https://gazette.nsw.gov.au/gazette/2024/4/2024-137.pdf</t>
        </is>
      </c>
      <c r="H12" s="4" t="inlineStr">
        <is>
          <t>sources/central-west-orana/cwo-08-nsw-gazette-2024-137-network-specification.pdf</t>
        </is>
      </c>
      <c r="I12" s="4" t="inlineStr">
        <is>
          <t>sources/central-west-orana/cwo-08-nsw-gazette-2024-137-network-specification.txt</t>
        </is>
      </c>
      <c r="J12" s="4" t="inlineStr">
        <is>
          <t>1fa415a2f1256f587b94134012213963f8fc1f0991b8af6bf6abab6f29975390</t>
        </is>
      </c>
      <c r="K12" s="4" t="inlineStr">
        <is>
          <t>verified</t>
        </is>
      </c>
    </row>
    <row r="13">
      <c r="A13" s="4" t="inlineStr">
        <is>
          <t>CWO-09</t>
        </is>
      </c>
      <c r="B13" s="4" t="inlineStr">
        <is>
          <t>Central-West Orana Renewable Energy Zone</t>
        </is>
      </c>
      <c r="C13" s="4" t="inlineStr">
        <is>
          <t>EnergyCo NSW</t>
        </is>
      </c>
      <c r="D13" s="4" t="inlineStr">
        <is>
          <t>Central-West Orana REZ Infrastructure Planner Recommendation Public Report</t>
        </is>
      </c>
      <c r="E13" s="4" t="inlineStr">
        <is>
          <t>2024-05-22</t>
        </is>
      </c>
      <c r="F13" s="4" t="inlineStr">
        <is>
          <t>infrastructure planner recommendation</t>
        </is>
      </c>
      <c r="G13" s="7" t="inlineStr">
        <is>
          <t>https://www.energyco.nsw.gov.au/sites/default/files/2025-06/cwo-rez-public-report-infrastructure-planner-recommendation-may-2024.pdf</t>
        </is>
      </c>
      <c r="H13" s="4" t="inlineStr">
        <is>
          <t>sources/central-west-orana/cwo-09-energyco-2024-infrastructure-planner-recommendation.pdf</t>
        </is>
      </c>
      <c r="I13" s="4" t="inlineStr">
        <is>
          <t>sources/central-west-orana/cwo-09-energyco-2024-infrastructure-planner-recommendation.txt</t>
        </is>
      </c>
      <c r="J13" s="4" t="inlineStr">
        <is>
          <t>2132928b201fedc9933b4e9d3589ca536906286f46b2a66cb59beeea25adc106</t>
        </is>
      </c>
      <c r="K13" s="4" t="inlineStr">
        <is>
          <t>verified</t>
        </is>
      </c>
    </row>
    <row r="14">
      <c r="A14" s="4" t="inlineStr">
        <is>
          <t>CWO-10</t>
        </is>
      </c>
      <c r="B14" s="4" t="inlineStr">
        <is>
          <t>Central-West Orana Renewable Energy Zone</t>
        </is>
      </c>
      <c r="C14" s="4" t="inlineStr">
        <is>
          <t>AEMO Services</t>
        </is>
      </c>
      <c r="D14" s="4" t="inlineStr">
        <is>
          <t>Notice of Authorisation – Main CWO REZ Network Infrastructure Project</t>
        </is>
      </c>
      <c r="E14" s="4" t="inlineStr">
        <is>
          <t>2024-06-04</t>
        </is>
      </c>
      <c r="F14" s="4" t="inlineStr">
        <is>
          <t>authorisation</t>
        </is>
      </c>
      <c r="G14" s="7" t="inlineStr">
        <is>
          <t>https://asl.org.au/-/media/services/files/publications/authorisation-function/cwo/notice-of-authorisation-cwo-main.pdf</t>
        </is>
      </c>
      <c r="H14" s="4" t="inlineStr">
        <is>
          <t>sources/central-west-orana/cwo-10-asl-2024-main-authorisation.pdf</t>
        </is>
      </c>
      <c r="I14" s="4" t="inlineStr">
        <is>
          <t>sources/central-west-orana/cwo-10-asl-2024-main-authorisation.txt</t>
        </is>
      </c>
      <c r="J14" s="4" t="inlineStr">
        <is>
          <t>f1791da0fac007f2513cc878aa09e338bffa84e45bce753a16ca56059bdb26c8</t>
        </is>
      </c>
      <c r="K14" s="4" t="inlineStr">
        <is>
          <t>verified</t>
        </is>
      </c>
    </row>
    <row r="15">
      <c r="A15" s="4" t="inlineStr">
        <is>
          <t>CWO-11</t>
        </is>
      </c>
      <c r="B15" s="4" t="inlineStr">
        <is>
          <t>Central-West Orana Renewable Energy Zone</t>
        </is>
      </c>
      <c r="C15" s="4" t="inlineStr">
        <is>
          <t>AEMO Services</t>
        </is>
      </c>
      <c r="D15" s="4" t="inlineStr">
        <is>
          <t>Notice of Authorisation – Enabling CWO REZ Network Infrastructure Project</t>
        </is>
      </c>
      <c r="E15" s="4" t="inlineStr">
        <is>
          <t>2024-06-04</t>
        </is>
      </c>
      <c r="F15" s="4" t="inlineStr">
        <is>
          <t>authorisation</t>
        </is>
      </c>
      <c r="G15" s="7" t="inlineStr">
        <is>
          <t>https://asl.org.au/-/media/services/files/publications/authorisation-function/cwo/notice-of-authorisation-cwo-enabling.pdf</t>
        </is>
      </c>
      <c r="H15" s="4" t="inlineStr">
        <is>
          <t>sources/central-west-orana/cwo-11-asl-2024-enabling-authorisation.pdf</t>
        </is>
      </c>
      <c r="I15" s="4" t="inlineStr">
        <is>
          <t>sources/central-west-orana/cwo-11-asl-2024-enabling-authorisation.txt</t>
        </is>
      </c>
      <c r="J15" s="4" t="inlineStr">
        <is>
          <t>a7979dd9ac8b334d14a27b8d88865bf2f1dd11a310dec4210c27f6b65c56d78a</t>
        </is>
      </c>
      <c r="K15" s="4" t="inlineStr">
        <is>
          <t>verified</t>
        </is>
      </c>
    </row>
    <row r="16">
      <c r="A16" s="4" t="inlineStr">
        <is>
          <t>CWO-12</t>
        </is>
      </c>
      <c r="B16" s="4" t="inlineStr">
        <is>
          <t>Central-West Orana Renewable Energy Zone</t>
        </is>
      </c>
      <c r="C16" s="4" t="inlineStr">
        <is>
          <t>Australian Energy Regulator</t>
        </is>
      </c>
      <c r="D16" s="4" t="inlineStr">
        <is>
          <t>CWO REZ network project revenue determination</t>
        </is>
      </c>
      <c r="E16" s="4" t="inlineStr">
        <is>
          <t>2024-12-13</t>
        </is>
      </c>
      <c r="F16" s="4" t="inlineStr">
        <is>
          <t>revenue determination</t>
        </is>
      </c>
      <c r="G16" s="7" t="inlineStr">
        <is>
          <t>https://www.aer.gov.au/system/files/2025-04/CWO%20REZ%20network%20project%20revenue%20determination.pdf</t>
        </is>
      </c>
      <c r="H16" s="4" t="inlineStr">
        <is>
          <t>sources/central-west-orana/cwo-12-aer-2024-initial-main-revenue-determination.pdf</t>
        </is>
      </c>
      <c r="I16" s="4" t="inlineStr">
        <is>
          <t>sources/central-west-orana/cwo-12-aer-2024-initial-main-revenue-determination.txt</t>
        </is>
      </c>
      <c r="J16" s="4" t="inlineStr">
        <is>
          <t>744d3282b20507dcc78fc40958ced36dd8635e48b15b3814355d4fe301296564</t>
        </is>
      </c>
      <c r="K16" s="4" t="inlineStr">
        <is>
          <t>verified</t>
        </is>
      </c>
    </row>
    <row r="17">
      <c r="A17" s="4" t="inlineStr">
        <is>
          <t>CWO-13</t>
        </is>
      </c>
      <c r="B17" s="4" t="inlineStr">
        <is>
          <t>Central-West Orana Renewable Energy Zone</t>
        </is>
      </c>
      <c r="C17" s="4" t="inlineStr">
        <is>
          <t>AEMO Services</t>
        </is>
      </c>
      <c r="D17" s="4" t="inlineStr">
        <is>
          <t>Statement of Reasons – CWO REZ Access Fee Determinations</t>
        </is>
      </c>
      <c r="E17" s="4" t="inlineStr">
        <is>
          <t>2025-05-08</t>
        </is>
      </c>
      <c r="F17" s="4" t="inlineStr">
        <is>
          <t>access-fee reasons</t>
        </is>
      </c>
      <c r="G17" s="7" t="inlineStr">
        <is>
          <t>https://asl.org.au/-/media/services/files/products/rez/cwo/250508-cwo-rez-statement-of-reasons-document-published-08052025.pdf</t>
        </is>
      </c>
      <c r="H17" s="4" t="inlineStr">
        <is>
          <t>sources/central-west-orana/cwo-13-asl-2025-access-fee-statement-of-reasons.pdf</t>
        </is>
      </c>
      <c r="I17" s="4" t="inlineStr">
        <is>
          <t>sources/central-west-orana/cwo-13-asl-2025-access-fee-statement-of-reasons.txt</t>
        </is>
      </c>
      <c r="J17" s="4" t="inlineStr">
        <is>
          <t>043f607cdd6dddd884322cb59426337e6965badb11b1e048617414471dd5e85f</t>
        </is>
      </c>
      <c r="K17" s="4" t="inlineStr">
        <is>
          <t>verified</t>
        </is>
      </c>
    </row>
    <row r="18">
      <c r="A18" s="4" t="inlineStr">
        <is>
          <t>CWO-14</t>
        </is>
      </c>
      <c r="B18" s="4" t="inlineStr">
        <is>
          <t>Central-West Orana Renewable Energy Zone</t>
        </is>
      </c>
      <c r="C18" s="4" t="inlineStr">
        <is>
          <t>AEMO Services</t>
        </is>
      </c>
      <c r="D18" s="4" t="inlineStr">
        <is>
          <t>Access Fee Determination – Liverpool Range Wind Farm Stage 1</t>
        </is>
      </c>
      <c r="E18" s="4" t="inlineStr">
        <is>
          <t>2025-04-16</t>
        </is>
      </c>
      <c r="F18" s="4" t="inlineStr">
        <is>
          <t>access-fee determination</t>
        </is>
      </c>
      <c r="G18" s="7" t="inlineStr">
        <is>
          <t>https://asl.org.au/-/media/services/files/products/rez/cwo/16042025-cwo-access-fee-determination-liverpool-range-stage-1-redacted.pdf</t>
        </is>
      </c>
      <c r="H18" s="4" t="inlineStr">
        <is>
          <t>sources/central-west-orana/cwo-14-asl-2025-access-fee-liverpool-range-stage-1.pdf</t>
        </is>
      </c>
      <c r="I18" s="4" t="inlineStr">
        <is>
          <t>sources/central-west-orana/cwo-14-asl-2025-access-fee-liverpool-range-stage-1.txt</t>
        </is>
      </c>
      <c r="J18" s="4" t="inlineStr">
        <is>
          <t>20b29682328a953438fe3e09f3c468a490041d4abfa35e047a31292365fc04dd</t>
        </is>
      </c>
      <c r="K18" s="4" t="inlineStr">
        <is>
          <t>verified</t>
        </is>
      </c>
    </row>
    <row r="19">
      <c r="A19" s="4" t="inlineStr">
        <is>
          <t>CWO-15</t>
        </is>
      </c>
      <c r="B19" s="4" t="inlineStr">
        <is>
          <t>Central-West Orana Renewable Energy Zone</t>
        </is>
      </c>
      <c r="C19" s="4" t="inlineStr">
        <is>
          <t>AEMO Services</t>
        </is>
      </c>
      <c r="D19" s="4" t="inlineStr">
        <is>
          <t>Access Fee Determination – Liverpool Range Wind Farm Stage 2</t>
        </is>
      </c>
      <c r="E19" s="4" t="inlineStr">
        <is>
          <t>2025-04-16</t>
        </is>
      </c>
      <c r="F19" s="4" t="inlineStr">
        <is>
          <t>access-fee determination</t>
        </is>
      </c>
      <c r="G19" s="7" t="inlineStr">
        <is>
          <t>https://asl.org.au/-/media/services/files/products/rez/cwo/16042025-cwo-access-fee-determination-liverpool-range-stage-2-redacted.pdf</t>
        </is>
      </c>
      <c r="H19" s="4" t="inlineStr">
        <is>
          <t>sources/central-west-orana/cwo-15-asl-2025-access-fee-liverpool-range-stage-2.pdf</t>
        </is>
      </c>
      <c r="I19" s="4" t="inlineStr">
        <is>
          <t>sources/central-west-orana/cwo-15-asl-2025-access-fee-liverpool-range-stage-2.txt</t>
        </is>
      </c>
      <c r="J19" s="4" t="inlineStr">
        <is>
          <t>86f2da944050d13ca3bb75a52fbaf1c4abd954ecc4eb554703bfe7e13af64054</t>
        </is>
      </c>
      <c r="K19" s="4" t="inlineStr">
        <is>
          <t>verified</t>
        </is>
      </c>
    </row>
    <row r="20">
      <c r="A20" s="4" t="inlineStr">
        <is>
          <t>CWO-16</t>
        </is>
      </c>
      <c r="B20" s="4" t="inlineStr">
        <is>
          <t>Central-West Orana Renewable Energy Zone</t>
        </is>
      </c>
      <c r="C20" s="4" t="inlineStr">
        <is>
          <t>EnergyCo NSW</t>
        </is>
      </c>
      <c r="D20" s="4" t="inlineStr">
        <is>
          <t>Transfer Capacity Determination for the Central-West Orana REZ</t>
        </is>
      </c>
      <c r="E20" s="4" t="inlineStr">
        <is>
          <t>2025-01-17</t>
        </is>
      </c>
      <c r="F20" s="4" t="inlineStr">
        <is>
          <t>transfer-capacity determination</t>
        </is>
      </c>
      <c r="G20" s="7" t="inlineStr">
        <is>
          <t>https://www.energyco.nsw.gov.au/sites/default/files/2025-01/2025_Transfer%20Capacity%20Determination%20for%20the%20CWO%20REZ.pdf</t>
        </is>
      </c>
      <c r="H20" s="4" t="inlineStr">
        <is>
          <t>sources/central-west-orana/cwo-16-energyco-2025-transfer-capacity-determination.pdf</t>
        </is>
      </c>
      <c r="I20" s="4" t="inlineStr">
        <is>
          <t>sources/central-west-orana/cwo-16-energyco-2025-transfer-capacity-determination.txt</t>
        </is>
      </c>
      <c r="J20" s="4" t="inlineStr">
        <is>
          <t>65c68ff1d82a01a4367c8491bb942d0805cbba281411d375fb2df56e0ab2f4c9</t>
        </is>
      </c>
      <c r="K20" s="4" t="inlineStr">
        <is>
          <t>verified</t>
        </is>
      </c>
    </row>
    <row r="21">
      <c r="A21" s="4" t="inlineStr">
        <is>
          <t>CWO-17</t>
        </is>
      </c>
      <c r="B21" s="4" t="inlineStr">
        <is>
          <t>Central-West Orana Renewable Energy Zone</t>
        </is>
      </c>
      <c r="C21" s="4" t="inlineStr">
        <is>
          <t>EnergyCo NSW</t>
        </is>
      </c>
      <c r="D21" s="4" t="inlineStr">
        <is>
          <t>Central-West Orana Renewable Energy Zone Headroom Assessment – Final Decision</t>
        </is>
      </c>
      <c r="E21" s="4" t="inlineStr">
        <is>
          <t>2025-01-16</t>
        </is>
      </c>
      <c r="F21" s="4" t="inlineStr">
        <is>
          <t>headroom decision</t>
        </is>
      </c>
      <c r="G21" s="7" t="inlineStr">
        <is>
          <t>https://www.energyco.nsw.gov.au/sites/default/files/2025-01/20251601_Central-West%20Orana%20Renewable%20Energy%20Zone%20Final%20Headroom%20Decision.pdf</t>
        </is>
      </c>
      <c r="H21" s="4" t="inlineStr">
        <is>
          <t>sources/central-west-orana/cwo-17-energyco-2025-final-headroom-decision.pdf</t>
        </is>
      </c>
      <c r="I21" s="4" t="inlineStr">
        <is>
          <t>sources/central-west-orana/cwo-17-energyco-2025-final-headroom-decision.txt</t>
        </is>
      </c>
      <c r="J21" s="4" t="inlineStr">
        <is>
          <t>ea616d48d0a64d6d3ed5046c103fc94638c2667e70e107755c4f8be7e1ff4673</t>
        </is>
      </c>
      <c r="K21" s="4" t="inlineStr">
        <is>
          <t>verified</t>
        </is>
      </c>
    </row>
    <row r="22">
      <c r="A22" s="4" t="inlineStr">
        <is>
          <t>CWO-18</t>
        </is>
      </c>
      <c r="B22" s="4" t="inlineStr">
        <is>
          <t>Central-West Orana Renewable Energy Zone</t>
        </is>
      </c>
      <c r="C22" s="4" t="inlineStr">
        <is>
          <t>Australian Energy Regulator</t>
        </is>
      </c>
      <c r="D22" s="4" t="inlineStr">
        <is>
          <t>Revenue Determination – ACEREZ – Main Central-West Orana REZ network project – Summary report</t>
        </is>
      </c>
      <c r="E22" s="4" t="inlineStr">
        <is>
          <t>2025-06-27</t>
        </is>
      </c>
      <c r="F22" s="4" t="inlineStr">
        <is>
          <t>revenue determination</t>
        </is>
      </c>
      <c r="G22" s="7" t="inlineStr">
        <is>
          <t>https://www.aer.gov.au/system/files/2025-08/CWO%20REZ%20network%20project%20-%20remade%20revenue%20determination%20-%20summary%20report.pdf</t>
        </is>
      </c>
      <c r="H22" s="4" t="inlineStr">
        <is>
          <t>sources/central-west-orana/cwo-18-aer-2025-remade-main-revenue-determination.pdf</t>
        </is>
      </c>
      <c r="I22" s="4" t="inlineStr">
        <is>
          <t>sources/central-west-orana/cwo-18-aer-2025-remade-main-revenue-determination.txt</t>
        </is>
      </c>
      <c r="J22" s="4" t="inlineStr">
        <is>
          <t>0593086da052d6d3bf4eff6c5cb20f02b0646d4fb66a747c090f4418d3461c8e</t>
        </is>
      </c>
      <c r="K22" s="4" t="inlineStr">
        <is>
          <t>verified</t>
        </is>
      </c>
    </row>
    <row r="23">
      <c r="A23" s="4" t="inlineStr">
        <is>
          <t>CWO-19</t>
        </is>
      </c>
      <c r="B23" s="4" t="inlineStr">
        <is>
          <t>Central-West Orana Renewable Energy Zone</t>
        </is>
      </c>
      <c r="C23" s="4" t="inlineStr">
        <is>
          <t>AusEnergy Services Limited</t>
        </is>
      </c>
      <c r="D23" s="4" t="inlineStr">
        <is>
          <t>Central West Orana Renewable Energy Zone – Transfer of Barigan Creek from ACEREZ Partnership to Transgrid</t>
        </is>
      </c>
      <c r="E23" s="4" t="inlineStr">
        <is>
          <t>2025-10-27</t>
        </is>
      </c>
      <c r="F23" s="4" t="inlineStr">
        <is>
          <t>authorisation transfer letter</t>
        </is>
      </c>
      <c r="G23" s="7" t="inlineStr">
        <is>
          <t>https://asl.org.au/-/media/services/files/publications/authorisation-function/cwo/letter-to-energyco-to-approve-barigan-creek-transfer.pdf</t>
        </is>
      </c>
      <c r="H23" s="4" t="inlineStr">
        <is>
          <t>sources/central-west-orana/cwo-19-asl-2025-barigan-transfer-letter.pdf</t>
        </is>
      </c>
      <c r="I23" s="4" t="inlineStr">
        <is>
          <t>sources/central-west-orana/cwo-19-asl-2025-barigan-transfer-letter.txt</t>
        </is>
      </c>
      <c r="J23" s="4" t="inlineStr">
        <is>
          <t>9c5dec2814c6725faee15e75afed4c17121567d70e0e4889f5c6c710825bc98c</t>
        </is>
      </c>
      <c r="K23" s="4" t="inlineStr">
        <is>
          <t>verified</t>
        </is>
      </c>
    </row>
    <row r="24">
      <c r="A24" s="4" t="inlineStr">
        <is>
          <t>CWO-20</t>
        </is>
      </c>
      <c r="B24" s="4" t="inlineStr">
        <is>
          <t>Central-West Orana Renewable Energy Zone</t>
        </is>
      </c>
      <c r="C24" s="4" t="inlineStr">
        <is>
          <t>NSW Government</t>
        </is>
      </c>
      <c r="D24" s="4" t="inlineStr">
        <is>
          <t>Renewable Energy Zone (Central-West Orana) Amendment Order 2025</t>
        </is>
      </c>
      <c r="E24" s="4" t="inlineStr">
        <is>
          <t>2025-11-21</t>
        </is>
      </c>
      <c r="F24" s="4" t="inlineStr">
        <is>
          <t>ministerial amendment</t>
        </is>
      </c>
      <c r="G24" s="7" t="inlineStr">
        <is>
          <t>https://gazette.nsw.gov.au/gazette/2025/11/2025-11_480-gazette.pdf</t>
        </is>
      </c>
      <c r="H24" s="4" t="inlineStr">
        <is>
          <t>sources/central-west-orana/cwo-20-nsw-gazette-2025-11-480-bannaby.pdf</t>
        </is>
      </c>
      <c r="I24" s="4" t="inlineStr">
        <is>
          <t>sources/central-west-orana/cwo-20-nsw-gazette-2025-11-480-bannaby.txt</t>
        </is>
      </c>
      <c r="J24" s="4" t="inlineStr">
        <is>
          <t>9405a55d3db6fd04d988d9f2a99c5b58e1ee055fdb21b07878577cb387dbf1fb</t>
        </is>
      </c>
      <c r="K24" s="4" t="inlineStr">
        <is>
          <t>verified</t>
        </is>
      </c>
    </row>
    <row r="25">
      <c r="A25" s="4" t="inlineStr">
        <is>
          <t>CWO-21</t>
        </is>
      </c>
      <c r="B25" s="4" t="inlineStr">
        <is>
          <t>Central-West Orana Renewable Energy Zone</t>
        </is>
      </c>
      <c r="C25" s="4" t="inlineStr">
        <is>
          <t>Australian Energy Regulator</t>
        </is>
      </c>
      <c r="D25" s="4" t="inlineStr">
        <is>
          <t>AER Final Decision – Transgrid – Enabling Central-West Orana REZ non-contestable project 2026–31</t>
        </is>
      </c>
      <c r="E25" s="4" t="inlineStr">
        <is>
          <t>2026-01-22</t>
        </is>
      </c>
      <c r="F25" s="4" t="inlineStr">
        <is>
          <t>revenue determination</t>
        </is>
      </c>
      <c r="G25" s="7" t="inlineStr">
        <is>
          <t>https://www.aer.gov.au/system/files/2026-04/AER%20%E2%80%93%20Final%20decision%20%E2%80%93%20Transgrid%20%E2%80%93%20Central-West%20Orana%20Enabling%20REZ%20non-contestable%20project%202026%E2%80%9331%20%E2%80%93%20January%202026_1.pdf</t>
        </is>
      </c>
      <c r="H25" s="4" t="inlineStr">
        <is>
          <t>sources/central-west-orana/cwo-21-aer-2026-enabling-final-decision.pdf</t>
        </is>
      </c>
      <c r="I25" s="4" t="inlineStr">
        <is>
          <t>sources/central-west-orana/cwo-21-aer-2026-enabling-final-decision.txt</t>
        </is>
      </c>
      <c r="J25" s="4" t="inlineStr">
        <is>
          <t>082cac2d9302ad55c4de29f187f988e05501cc5479f1f07b836adcf37c766f39</t>
        </is>
      </c>
      <c r="K25" s="4" t="inlineStr">
        <is>
          <t>verified</t>
        </is>
      </c>
    </row>
    <row r="26">
      <c r="A26" s="4" t="inlineStr">
        <is>
          <t>CWO-22</t>
        </is>
      </c>
      <c r="B26" s="4" t="inlineStr">
        <is>
          <t>Central-West Orana Renewable Energy Zone</t>
        </is>
      </c>
      <c r="C26" s="4" t="inlineStr">
        <is>
          <t>AEMO</t>
        </is>
      </c>
      <c r="D26" s="4" t="inlineStr">
        <is>
          <t>2026 Integrated System Plan, Appendix A5: Network Investments</t>
        </is>
      </c>
      <c r="E26" s="4" t="inlineStr">
        <is>
          <t>2026-06-01</t>
        </is>
      </c>
      <c r="F26" s="4" t="inlineStr">
        <is>
          <t>ISP appendix</t>
        </is>
      </c>
      <c r="G26" s="7" t="inlineStr">
        <is>
          <t>https://www.aemo.com.au/-/media/files/major-publications/isp/2026/appendices/a5-network-investments.pdf</t>
        </is>
      </c>
      <c r="H26" s="4" t="inlineStr">
        <is>
          <t>sources/central-west-orana/cwo-22-aemo-2026-isp-appendix-a5.pdf</t>
        </is>
      </c>
      <c r="I26" s="4" t="inlineStr">
        <is>
          <t>sources/central-west-orana/cwo-22-aemo-2026-isp-appendix-a5.txt</t>
        </is>
      </c>
      <c r="J26" s="4" t="inlineStr">
        <is>
          <t>7df9478c9ca00964219ec301552902cf4fd338c159509daa7f4b900c668364c8</t>
        </is>
      </c>
      <c r="K26" s="4" t="inlineStr">
        <is>
          <t>verified</t>
        </is>
      </c>
    </row>
    <row r="27">
      <c r="A27" s="4" t="inlineStr">
        <is>
          <t>CWO-23</t>
        </is>
      </c>
      <c r="B27" s="4" t="inlineStr">
        <is>
          <t>Central-West Orana Renewable Energy Zone</t>
        </is>
      </c>
      <c r="C27" s="4" t="inlineStr">
        <is>
          <t>AEMO Services</t>
        </is>
      </c>
      <c r="D27" s="4" t="inlineStr">
        <is>
          <t>Statement of Reasons – Main CWO REZ Network Infrastructure Project Authorisation</t>
        </is>
      </c>
      <c r="E27" s="4" t="inlineStr">
        <is>
          <t>2024-06</t>
        </is>
      </c>
      <c r="F27" s="4" t="inlineStr">
        <is>
          <t>statement of reasons</t>
        </is>
      </c>
      <c r="G27" s="7" t="inlineStr">
        <is>
          <t>https://asl.org.au/-/media/services/files/publications/authorisation-function/cwo/statement-of-reasons-cwo-main.pdf</t>
        </is>
      </c>
      <c r="H27" s="4" t="inlineStr">
        <is>
          <t>sources/central-west-orana/cwo-23-asl-2024-statement-of-reasons-main.pdf</t>
        </is>
      </c>
      <c r="I27" s="4" t="inlineStr">
        <is>
          <t>sources/central-west-orana/cwo-23-asl-2024-statement-of-reasons-main.txt</t>
        </is>
      </c>
      <c r="J27" s="4" t="inlineStr">
        <is>
          <t>cb2ffd7d7d00a67a81af270098766ff71ea47cb865f7ce84387ffd14b0930c2a</t>
        </is>
      </c>
      <c r="K27" s="4" t="inlineStr">
        <is>
          <t>verified</t>
        </is>
      </c>
    </row>
    <row r="28">
      <c r="A28" s="4" t="inlineStr">
        <is>
          <t>CWO-24</t>
        </is>
      </c>
      <c r="B28" s="4" t="inlineStr">
        <is>
          <t>Central-West Orana Renewable Energy Zone</t>
        </is>
      </c>
      <c r="C28" s="4" t="inlineStr">
        <is>
          <t>Transgrid</t>
        </is>
      </c>
      <c r="D28" s="4" t="inlineStr">
        <is>
          <t>Meeting system strength requirements in NSW – Project Assessment Conclusions Report</t>
        </is>
      </c>
      <c r="E28" s="4" t="inlineStr">
        <is>
          <t>2025-08-12</t>
        </is>
      </c>
      <c r="F28" s="4" t="inlineStr">
        <is>
          <t>RIT-T PACR</t>
        </is>
      </c>
      <c r="G28" s="7" t="inlineStr">
        <is>
          <t>https://www.transgrid.com.au/media/kfhd21bq/250812-transgrid-system-strength-pacr.pdf</t>
        </is>
      </c>
      <c r="H28" s="4" t="inlineStr">
        <is>
          <t>sources/central-west-orana/cwo-24-transgrid-2025-system-strength-pacr.pdf</t>
        </is>
      </c>
      <c r="I28" s="4" t="inlineStr">
        <is>
          <t>sources/central-west-orana/cwo-24-transgrid-2025-system-strength-pacr.txt</t>
        </is>
      </c>
      <c r="J28" s="4" t="inlineStr">
        <is>
          <t>6b744793b8f6fe41e8f296b646a46b2981b557ec9db6ab7432d5ea477ff3e518</t>
        </is>
      </c>
      <c r="K28" s="4" t="inlineStr">
        <is>
          <t>verified</t>
        </is>
      </c>
    </row>
    <row r="29">
      <c r="A29" s="4" t="inlineStr">
        <is>
          <t>CWO-25</t>
        </is>
      </c>
      <c r="B29" s="4" t="inlineStr">
        <is>
          <t>Central-West Orana Renewable Energy Zone</t>
        </is>
      </c>
      <c r="C29" s="4" t="inlineStr">
        <is>
          <t>NSW Government</t>
        </is>
      </c>
      <c r="D29" s="4" t="inlineStr">
        <is>
          <t>NSW Government Gazette No 591, December 2022 (Renewable Energy Zone (Central-West Orana) Access Scheme Order 2022)</t>
        </is>
      </c>
      <c r="E29" s="4" t="inlineStr">
        <is>
          <t>2022-12</t>
        </is>
      </c>
      <c r="F29" s="4" t="inlineStr">
        <is>
          <t>gazette_order</t>
        </is>
      </c>
      <c r="G29" s="7" t="inlineStr">
        <is>
          <t>https://gazette.nsw.gov.au/gazette/2022/12/2022-591.pdf</t>
        </is>
      </c>
      <c r="H29" s="4" t="inlineStr">
        <is>
          <t>sources/central-west-orana/cwo-25-nsw-gazette-2022-591-access-scheme-order.pdf</t>
        </is>
      </c>
      <c r="I29" s="4" t="inlineStr">
        <is>
          <t>sources/central-west-orana/cwo-25-nsw-gazette-2022-591-access-scheme-order.txt</t>
        </is>
      </c>
      <c r="J29" s="4" t="inlineStr">
        <is>
          <t>9671ee1c8cf4c80c9b460181a452b5900f92f6bb0ff6661b7fc61b2334c8c4d8</t>
        </is>
      </c>
      <c r="K29" s="4" t="inlineStr">
        <is>
          <t>verified</t>
        </is>
      </c>
    </row>
    <row r="30">
      <c r="A30" s="4" t="inlineStr">
        <is>
          <t>CWO-26</t>
        </is>
      </c>
      <c r="B30" s="4" t="inlineStr">
        <is>
          <t>Central-West Orana Renewable Energy Zone</t>
        </is>
      </c>
      <c r="C30" s="4" t="inlineStr">
        <is>
          <t>ACEREZ</t>
        </is>
      </c>
      <c r="D30" s="4" t="inlineStr">
        <is>
          <t>The Project - Central-West Orana Renewable Energy Zone Transmission Network</t>
        </is>
      </c>
      <c r="E30" s="4" t="inlineStr">
        <is>
          <t>2026</t>
        </is>
      </c>
      <c r="F30" s="4" t="inlineStr">
        <is>
          <t>project_page</t>
        </is>
      </c>
      <c r="G30" s="7" t="inlineStr">
        <is>
          <t>https://www.acerez.com.au/the-project</t>
        </is>
      </c>
      <c r="H30" s="4" t="inlineStr">
        <is>
          <t>sources/central-west-orana/cwo-26.html</t>
        </is>
      </c>
      <c r="I30" s="4" t="inlineStr">
        <is>
          <t>sources/central-west-orana/cwo-26.txt</t>
        </is>
      </c>
      <c r="J30" s="4" t="inlineStr">
        <is>
          <t>baaab2d19fce531401a31cb82d4cc4029bb9676fc755c3fe944dd662ed258bb7</t>
        </is>
      </c>
      <c r="K30" s="4" t="inlineStr">
        <is>
          <t>verified</t>
        </is>
      </c>
    </row>
    <row r="31">
      <c r="A31" s="4" t="inlineStr">
        <is>
          <t>CWO-27</t>
        </is>
      </c>
      <c r="B31" s="4" t="inlineStr">
        <is>
          <t>Central-West Orana Renewable Energy Zone</t>
        </is>
      </c>
      <c r="C31" s="4" t="inlineStr">
        <is>
          <t>NSW Department of Planning, Housing and Infrastructure</t>
        </is>
      </c>
      <c r="D31" s="4" t="inlineStr">
        <is>
          <t>Consolidated Approval - Central-West Orana REZ Transmission Project (SSI 48323210)</t>
        </is>
      </c>
      <c r="E31" s="4" t="inlineStr">
        <is>
          <t>2024-12</t>
        </is>
      </c>
      <c r="F31" s="4" t="inlineStr">
        <is>
          <t>planning_approval</t>
        </is>
      </c>
      <c r="G31" s="7" t="inlineStr">
        <is>
          <t>https://www.energyco.nsw.gov.au/sites/default/files/2024-12/Consolidated%20Approval.pdf</t>
        </is>
      </c>
      <c r="H31" s="4" t="inlineStr">
        <is>
          <t>sources/central-west-orana/cwo-27.pdf</t>
        </is>
      </c>
      <c r="I31" s="4" t="inlineStr">
        <is>
          <t>sources/central-west-orana/cwo-27.txt</t>
        </is>
      </c>
      <c r="J31" s="4" t="inlineStr">
        <is>
          <t>3c20f06ad250fe3e84bf4a2db552f1ae961d85a1c12f2d1a848e935567751a67</t>
        </is>
      </c>
      <c r="K31" s="4" t="inlineStr">
        <is>
          <t>verified</t>
        </is>
      </c>
    </row>
    <row r="32">
      <c r="A32" s="4" t="inlineStr">
        <is>
          <t>HTP-AER-2025-FINALDECISION</t>
        </is>
      </c>
      <c r="B32" s="4" t="inlineStr">
        <is>
          <t>Hunter Transmission Project</t>
        </is>
      </c>
      <c r="C32" s="4" t="inlineStr">
        <is>
          <t>Australian Energy Regulator</t>
        </is>
      </c>
      <c r="D32" s="4" t="inlineStr">
        <is>
          <t>AER Final Decision: Ausgrid Hunter-Central Coast REZ non-contestable network infrastructure project 2026-31</t>
        </is>
      </c>
      <c r="E32" s="4" t="inlineStr">
        <is>
          <t>2025-12</t>
        </is>
      </c>
      <c r="F32" s="4" t="inlineStr">
        <is>
          <t>determination</t>
        </is>
      </c>
      <c r="G32" s="7" t="inlineStr">
        <is>
          <t>https://www.aer.gov.au/system/files/2025-12/AER%20%E2%80%93%20Final%20decision%20%E2%80%93%20Ausgrid%20%E2%80%93%20Hunter-Central%20Coast%20REZ%20non-contestable%20project%202026%E2%80%9331%20%E2%80%93%20December%202025_0.pdf</t>
        </is>
      </c>
      <c r="H32" s="4" t="inlineStr">
        <is>
          <t>sources/hunter-transmission-project/htp-aer-2025-finaldecision.pdf</t>
        </is>
      </c>
      <c r="I32" s="4" t="inlineStr">
        <is>
          <t>sources/hunter-transmission-project/htp-aer-2025-finaldecision.txt</t>
        </is>
      </c>
      <c r="J32" s="4" t="inlineStr">
        <is>
          <t>3b670085ae270e992e93e77363db36a6d805f39cc46b6318d227dc3d8c647a03</t>
        </is>
      </c>
      <c r="K32" s="4" t="inlineStr">
        <is>
          <t>verified</t>
        </is>
      </c>
    </row>
    <row r="33">
      <c r="A33" s="4" t="inlineStr">
        <is>
          <t>HTP-ENERGYCO-2026-INFRA-PAGE</t>
        </is>
      </c>
      <c r="B33" s="4" t="inlineStr">
        <is>
          <t>Hunter Transmission Project</t>
        </is>
      </c>
      <c r="C33" s="4" t="inlineStr">
        <is>
          <t>EnergyCo NSW</t>
        </is>
      </c>
      <c r="D33" s="4" t="inlineStr">
        <is>
          <t>Hunter Transmission Project – transmission infrastructure web page</t>
        </is>
      </c>
      <c r="E33" s="4" t="inlineStr">
        <is>
          <t>2026-09-04</t>
        </is>
      </c>
      <c r="F33" s="4" t="inlineStr">
        <is>
          <t>project_webpage</t>
        </is>
      </c>
      <c r="G33" s="7" t="inlineStr">
        <is>
          <t>https://www.energyco.nsw.gov.au/our-projects/hunter-transmission-project/transmission-infrastructure</t>
        </is>
      </c>
      <c r="H33" s="4" t="inlineStr">
        <is>
          <t>sources/hunter-transmission-project/htp-energyco-2026-transmission-infrastructure-page.html</t>
        </is>
      </c>
      <c r="I33" s="4" t="inlineStr">
        <is>
          <t>sources/hunter-transmission-project/htp-energyco-2026-transmission-infrastructure-page.txt</t>
        </is>
      </c>
      <c r="J33" s="4" t="inlineStr">
        <is>
          <t>a98e044f972103d07dbe237bd10c5b4fab06e2df5909412d830a71bed424aa3c</t>
        </is>
      </c>
      <c r="K33" s="4" t="inlineStr">
        <is>
          <t>verified</t>
        </is>
      </c>
    </row>
    <row r="34">
      <c r="A34" s="4" t="inlineStr">
        <is>
          <t>HTP-ENERGYCO-2026-PROJECT-PAGE</t>
        </is>
      </c>
      <c r="B34" s="4" t="inlineStr">
        <is>
          <t>Hunter Transmission Project</t>
        </is>
      </c>
      <c r="C34" s="4" t="inlineStr">
        <is>
          <t>EnergyCo NSW</t>
        </is>
      </c>
      <c r="D34" s="4" t="inlineStr">
        <is>
          <t>Hunter Transmission Project – project web page</t>
        </is>
      </c>
      <c r="E34" s="4" t="inlineStr">
        <is>
          <t>2026-09-04</t>
        </is>
      </c>
      <c r="F34" s="4" t="inlineStr">
        <is>
          <t>project_webpage</t>
        </is>
      </c>
      <c r="G34" s="7" t="inlineStr">
        <is>
          <t>https://www.energyco.nsw.gov.au/our-projects/hunter-transmission-project</t>
        </is>
      </c>
      <c r="H34" s="4" t="inlineStr">
        <is>
          <t>sources/hunter-transmission-project/htp-energyco-2026-project-page.html</t>
        </is>
      </c>
      <c r="I34" s="4" t="inlineStr">
        <is>
          <t>sources/hunter-transmission-project/htp-energyco-2026-project-page.txt</t>
        </is>
      </c>
      <c r="J34" s="4" t="inlineStr">
        <is>
          <t>dacdfe0f166484c39448cab918d7d382555fc4fc6d9e374f44fd62fcf4ec56e4</t>
        </is>
      </c>
      <c r="K34" s="4" t="inlineStr">
        <is>
          <t>verified</t>
        </is>
      </c>
    </row>
    <row r="35">
      <c r="A35" s="4" t="inlineStr">
        <is>
          <t>HTP-NSWGOV-2022-GAZETTE-569</t>
        </is>
      </c>
      <c r="B35" s="4" t="inlineStr">
        <is>
          <t>Hunter Transmission Project</t>
        </is>
      </c>
      <c r="C35" s="4" t="inlineStr">
        <is>
          <t>NSW Government</t>
        </is>
      </c>
      <c r="D35" s="4" t="inlineStr">
        <is>
          <t>NSW Government Gazette No 569, 9 December 2022 (Hunter-Central Coast REZ declaration)</t>
        </is>
      </c>
      <c r="E35" s="4" t="inlineStr">
        <is>
          <t>2022-12-09</t>
        </is>
      </c>
      <c r="F35" s="4" t="inlineStr">
        <is>
          <t>gazette_declaration</t>
        </is>
      </c>
      <c r="G35" s="7" t="inlineStr">
        <is>
          <t>https://gazette.nsw.gov.au/gazette/2022/12/2022-569.pdf</t>
        </is>
      </c>
      <c r="H35" s="4" t="inlineStr">
        <is>
          <t>sources/hunter-transmission-project/htp-nswgov-2022-gazette-569.pdf</t>
        </is>
      </c>
      <c r="I35" s="4" t="inlineStr">
        <is>
          <t>sources/hunter-transmission-project/htp-nswgov-2022-gazette-569.txt</t>
        </is>
      </c>
      <c r="J35" s="4" t="inlineStr">
        <is>
          <t>f38fb437821a804df4c49e88d8c2b62866254bbe57f0d86563999cd6e2b43108</t>
        </is>
      </c>
      <c r="K35" s="4" t="inlineStr">
        <is>
          <t>verified</t>
        </is>
      </c>
    </row>
    <row r="36">
      <c r="A36" s="4" t="inlineStr">
        <is>
          <t>HUM-AEMO-2018-ISP</t>
        </is>
      </c>
      <c r="B36" s="4" t="inlineStr">
        <is>
          <t>HumeLink</t>
        </is>
      </c>
      <c r="C36" s="4" t="inlineStr">
        <is>
          <t>Australian Energy Market Operator</t>
        </is>
      </c>
      <c r="D36" s="4" t="inlineStr">
        <is>
          <t>Integrated System Plan</t>
        </is>
      </c>
      <c r="E36" s="4" t="inlineStr">
        <is>
          <t>2018-07-17</t>
        </is>
      </c>
      <c r="F36" s="4" t="inlineStr">
        <is>
          <t>integrated_system_plan</t>
        </is>
      </c>
      <c r="G36" s="7" t="inlineStr">
        <is>
          <t>https://www.aemo.com.au/-/media/files/electricity/nem/planning_and_forecasting/isp/2018/integrated-system-plan-2018_final.pdf</t>
        </is>
      </c>
      <c r="H36" s="4" t="inlineStr">
        <is>
          <t>sources/humelink/originals/AEMO-2018-ISP.pdf</t>
        </is>
      </c>
      <c r="I36" s="4" t="inlineStr">
        <is>
          <t>sources/humelink/text/AEMO-2018-ISP.txt</t>
        </is>
      </c>
      <c r="J36" s="4" t="inlineStr">
        <is>
          <t>94dd5a31ee55ff4280af3673ea9409901a2cea0ed4b625d5af4ecb9d4ec5e029</t>
        </is>
      </c>
      <c r="K36" s="4" t="inlineStr">
        <is>
          <t>verified</t>
        </is>
      </c>
    </row>
    <row r="37">
      <c r="A37" s="4" t="inlineStr">
        <is>
          <t>HUM-AEMO-2018-ISP-APP</t>
        </is>
      </c>
      <c r="B37" s="4" t="inlineStr">
        <is>
          <t>HumeLink</t>
        </is>
      </c>
      <c r="C37" s="4" t="inlineStr">
        <is>
          <t>Australian Energy Market Operator</t>
        </is>
      </c>
      <c r="D37" s="4" t="inlineStr">
        <is>
          <t>Integrated System Plan Appendices</t>
        </is>
      </c>
      <c r="E37" s="4" t="inlineStr">
        <is>
          <t>2018-07-17</t>
        </is>
      </c>
      <c r="F37" s="4" t="inlineStr">
        <is>
          <t>integrated_system_plan_appendices</t>
        </is>
      </c>
      <c r="G37" s="7" t="inlineStr">
        <is>
          <t>https://www.aemo.com.au/-/media/files/electricity/nem/planning_and_forecasting/isp/2018/isp-appendices_final.pdf</t>
        </is>
      </c>
      <c r="H37" s="4" t="inlineStr">
        <is>
          <t>sources/humelink/originals/AEMO-2018-ISP-appendices.pdf</t>
        </is>
      </c>
      <c r="I37" s="4" t="inlineStr">
        <is>
          <t>sources/humelink/text/AEMO-2018-ISP-appendices.txt</t>
        </is>
      </c>
      <c r="J37" s="4" t="inlineStr">
        <is>
          <t>062acf7685bcfac64d537fb778ce9f3e2960fe3b9efa47ac43a506c0a89952c4</t>
        </is>
      </c>
      <c r="K37" s="4" t="inlineStr">
        <is>
          <t>verified</t>
        </is>
      </c>
    </row>
    <row r="38">
      <c r="A38" s="4" t="inlineStr">
        <is>
          <t>HUM-AEMO-2020-ISP</t>
        </is>
      </c>
      <c r="B38" s="4" t="inlineStr">
        <is>
          <t>Project Marinus</t>
        </is>
      </c>
      <c r="C38" s="4" t="inlineStr">
        <is>
          <t>Australian Energy Market Operator</t>
        </is>
      </c>
      <c r="D38" s="4" t="inlineStr">
        <is>
          <t>2020 Integrated System Plan</t>
        </is>
      </c>
      <c r="E38" s="4" t="inlineStr">
        <is>
          <t>2020-07-30</t>
        </is>
      </c>
      <c r="F38" s="4" t="inlineStr">
        <is>
          <t>integrated_system_plan</t>
        </is>
      </c>
      <c r="G38" s="7" t="inlineStr">
        <is>
          <t>https://www.aemo.com.au/-/media/files/major-publications/isp/2020/final-2020-integrated-system-plan.pdf</t>
        </is>
      </c>
      <c r="H38" s="4" t="inlineStr">
        <is>
          <t>sources/humelink/originals/AEMO-2020-ISP.pdf</t>
        </is>
      </c>
      <c r="I38" s="4" t="inlineStr">
        <is>
          <t>sources/humelink/text/AEMO-2020-ISP.txt</t>
        </is>
      </c>
      <c r="J38" s="4" t="inlineStr">
        <is>
          <t>a174be3f75bf6dcebf38e8fcb6fb05aaa7cde37afc361273d7277e44ce2759f1</t>
        </is>
      </c>
      <c r="K38" s="4" t="inlineStr">
        <is>
          <t>verified</t>
        </is>
      </c>
    </row>
    <row r="39">
      <c r="A39" s="4" t="inlineStr">
        <is>
          <t>HUM-AEMO-2020-ISP-A3</t>
        </is>
      </c>
      <c r="B39" s="4" t="inlineStr">
        <is>
          <t>HumeLink; Project EnergyConnect; VNI West (South West NSW REZ component)</t>
        </is>
      </c>
      <c r="C39" s="4" t="inlineStr">
        <is>
          <t>Australian Energy Market Operator</t>
        </is>
      </c>
      <c r="D39" s="4" t="inlineStr">
        <is>
          <t>2020 ISP Appendix 3 Network Investments</t>
        </is>
      </c>
      <c r="E39" s="4" t="inlineStr">
        <is>
          <t>2020-07-30</t>
        </is>
      </c>
      <c r="F39" s="4" t="inlineStr">
        <is>
          <t>integrated_system_plan_appendix</t>
        </is>
      </c>
      <c r="G39" s="7" t="inlineStr">
        <is>
          <t>https://www.aemo.com.au/-/media/files/major-publications/isp/2020/appendix--3.pdf</t>
        </is>
      </c>
      <c r="H39" s="4" t="inlineStr">
        <is>
          <t>sources/humelink/originals/AEMO-2020-ISP-Appendix-3.pdf</t>
        </is>
      </c>
      <c r="I39" s="4" t="inlineStr">
        <is>
          <t>sources/humelink/text/AEMO-2020-ISP-Appendix-3.txt</t>
        </is>
      </c>
      <c r="J39" s="4" t="inlineStr">
        <is>
          <t>285a01a1df766879e95d4c4bcad4044b7acfade3dfb01b1c905f5805fc877bdf</t>
        </is>
      </c>
      <c r="K39" s="4" t="inlineStr">
        <is>
          <t>verified</t>
        </is>
      </c>
    </row>
    <row r="40">
      <c r="A40" s="4" t="inlineStr">
        <is>
          <t>HUM-AEMO-2022-FL1</t>
        </is>
      </c>
      <c r="B40" s="4" t="inlineStr">
        <is>
          <t>HumeLink</t>
        </is>
      </c>
      <c r="C40" s="4" t="inlineStr">
        <is>
          <t>Australian Energy Market Operator</t>
        </is>
      </c>
      <c r="D40" s="4" t="inlineStr">
        <is>
          <t>Integrated System Plan Feedback Loop Notice HumeLink Early Works</t>
        </is>
      </c>
      <c r="E40" s="4" t="inlineStr">
        <is>
          <t>2022-01-27</t>
        </is>
      </c>
      <c r="F40" s="4" t="inlineStr">
        <is>
          <t>isp_feedback_loop_notice</t>
        </is>
      </c>
      <c r="G40" s="7" t="inlineStr">
        <is>
          <t>https://aemo.com.au/-/media/files/major-publications/isp/2022/isp-feedback-loop-notice-humelink-early-works.pdf</t>
        </is>
      </c>
      <c r="H40" s="4" t="inlineStr">
        <is>
          <t>sources/humelink/originals/AEMO-2022-HumeLink-early-works-feedback-loop.pdf</t>
        </is>
      </c>
      <c r="I40" s="4" t="inlineStr">
        <is>
          <t>sources/humelink/text/AEMO-2022-HumeLink-early-works-feedback-loop.txt</t>
        </is>
      </c>
      <c r="J40" s="4" t="inlineStr">
        <is>
          <t>ea75608f12d04601e699ae857f092f3f61b63bbbce7d6c2dbe01722faa7d0ace</t>
        </is>
      </c>
      <c r="K40" s="4" t="inlineStr">
        <is>
          <t>verified</t>
        </is>
      </c>
    </row>
    <row r="41">
      <c r="A41" s="4" t="inlineStr">
        <is>
          <t>HUM-AEMO-2022-ISP</t>
        </is>
      </c>
      <c r="B41" s="4" t="inlineStr">
        <is>
          <t>HumeLink; Hunter Transmission Project; Project Marinus; New England REZ Network Infrastructure Project; Project EnergyConnect; VNI West (Victoria)</t>
        </is>
      </c>
      <c r="C41" s="4" t="inlineStr">
        <is>
          <t>Australian Energy Market Operator</t>
        </is>
      </c>
      <c r="D41" s="4" t="inlineStr">
        <is>
          <t>2022 Integrated System Plan</t>
        </is>
      </c>
      <c r="E41" s="4" t="inlineStr">
        <is>
          <t>2022-06-30</t>
        </is>
      </c>
      <c r="F41" s="4" t="inlineStr">
        <is>
          <t>integrated_system_plan</t>
        </is>
      </c>
      <c r="G41" s="7" t="inlineStr">
        <is>
          <t>https://aemo.com.au/-/media/files/major-publications/isp/2022/2022-documents/2022-integrated-system-plan-isp.pdf</t>
        </is>
      </c>
      <c r="H41" s="4" t="inlineStr">
        <is>
          <t>sources/humelink/originals/AEMO-2022-ISP.pdf</t>
        </is>
      </c>
      <c r="I41" s="4" t="inlineStr">
        <is>
          <t>sources/humelink/text/AEMO-2022-ISP.txt</t>
        </is>
      </c>
      <c r="J41" s="4" t="inlineStr">
        <is>
          <t>047166b47c6871dc11e081422c5f0c2c70312d4c16df29f5535ad7d269a208dc</t>
        </is>
      </c>
      <c r="K41" s="4" t="inlineStr">
        <is>
          <t>verified</t>
        </is>
      </c>
    </row>
    <row r="42">
      <c r="A42" s="4" t="inlineStr">
        <is>
          <t>HUM-AEMO-2023-FL2</t>
        </is>
      </c>
      <c r="B42" s="4" t="inlineStr">
        <is>
          <t>HumeLink</t>
        </is>
      </c>
      <c r="C42" s="4" t="inlineStr">
        <is>
          <t>Australian Energy Market Operator</t>
        </is>
      </c>
      <c r="D42" s="4" t="inlineStr">
        <is>
          <t>Integrated System Plan Feedback Loop Notice HumeLink Early Works</t>
        </is>
      </c>
      <c r="E42" s="4" t="inlineStr">
        <is>
          <t>2023-05-19</t>
        </is>
      </c>
      <c r="F42" s="4" t="inlineStr">
        <is>
          <t>isp_feedback_loop_notice</t>
        </is>
      </c>
      <c r="G42" s="7" t="inlineStr">
        <is>
          <t>https://aemo.com.au/-/media/files/major-publications/isp/2023/20230511-integrated-system-plan-feedback-loop-notice--humelink-early-works.pdf</t>
        </is>
      </c>
      <c r="H42" s="4" t="inlineStr">
        <is>
          <t>sources/humelink/originals/AEMO-2023-HumeLink-expanded-early-works-feedback-loop.pdf</t>
        </is>
      </c>
      <c r="I42" s="4" t="inlineStr">
        <is>
          <t>sources/humelink/text/AEMO-2023-HumeLink-expanded-early-works-feedback-loop.txt</t>
        </is>
      </c>
      <c r="J42" s="4" t="inlineStr">
        <is>
          <t>b3e59a92c76f70a3575cf21052602856d268a817744652f4a6c2d385a382699b</t>
        </is>
      </c>
      <c r="K42" s="4" t="inlineStr">
        <is>
          <t>verified</t>
        </is>
      </c>
    </row>
    <row r="43">
      <c r="A43" s="4" t="inlineStr">
        <is>
          <t>HUM-AEMO-2023-FL3</t>
        </is>
      </c>
      <c r="B43" s="4" t="inlineStr">
        <is>
          <t>HumeLink</t>
        </is>
      </c>
      <c r="C43" s="4" t="inlineStr">
        <is>
          <t>Australian Energy Market Operator</t>
        </is>
      </c>
      <c r="D43" s="4" t="inlineStr">
        <is>
          <t>Integrated System Plan Feedback Loop Notice HumeLink</t>
        </is>
      </c>
      <c r="E43" s="4" t="inlineStr">
        <is>
          <t>2023-12-21</t>
        </is>
      </c>
      <c r="F43" s="4" t="inlineStr">
        <is>
          <t>isp_feedback_loop_notice</t>
        </is>
      </c>
      <c r="G43" s="7" t="inlineStr">
        <is>
          <t>https://www.aemo.com.au/-/media/files/major-publications/isp/2023/integrated-system-plan-feedback-loop-notice---humelink.pdf</t>
        </is>
      </c>
      <c r="H43" s="4" t="inlineStr">
        <is>
          <t>sources/humelink/originals/AEMO-2023-HumeLink-full-project-feedback-loop.pdf</t>
        </is>
      </c>
      <c r="I43" s="4" t="inlineStr">
        <is>
          <t>sources/humelink/text/AEMO-2023-HumeLink-full-project-feedback-loop.txt</t>
        </is>
      </c>
      <c r="J43" s="4" t="inlineStr">
        <is>
          <t>12563576521c7f8af2b987061433c43326a8f7f23b55bb5a8bb71b76063f4d68</t>
        </is>
      </c>
      <c r="K43" s="4" t="inlineStr">
        <is>
          <t>verified</t>
        </is>
      </c>
    </row>
    <row r="44">
      <c r="A44" s="4" t="inlineStr">
        <is>
          <t>HUM-AEMO-2024-FL4</t>
        </is>
      </c>
      <c r="B44" s="4" t="inlineStr">
        <is>
          <t>HumeLink</t>
        </is>
      </c>
      <c r="C44" s="4" t="inlineStr">
        <is>
          <t>Australian Energy Market Operator</t>
        </is>
      </c>
      <c r="D44" s="4" t="inlineStr">
        <is>
          <t>Integrated System Plan Feedback Loop Notice HumeLink</t>
        </is>
      </c>
      <c r="E44" s="4" t="inlineStr">
        <is>
          <t>2024-07-08</t>
        </is>
      </c>
      <c r="F44" s="4" t="inlineStr">
        <is>
          <t>isp_feedback_loop_notice</t>
        </is>
      </c>
      <c r="G44" s="7" t="inlineStr">
        <is>
          <t>https://www.aemo.com.au/-/media/files/major-publications/isp/2024/integrated-system-plan-feedback-loop-notice-humelink.pdf</t>
        </is>
      </c>
      <c r="H44" s="4" t="inlineStr">
        <is>
          <t>sources/humelink/originals/AEMO-2024-HumeLink-feedback-loop-notice.pdf</t>
        </is>
      </c>
      <c r="I44" s="4" t="inlineStr">
        <is>
          <t>sources/humelink/text/AEMO-2024-HumeLink-feedback-loop-notice.txt</t>
        </is>
      </c>
      <c r="J44" s="4" t="inlineStr">
        <is>
          <t>76893dfb5b9ea2f764d5612f1af083217a7a0e7048d4b6c6a46656c4456793ee</t>
        </is>
      </c>
      <c r="K44" s="4" t="inlineStr">
        <is>
          <t>verified</t>
        </is>
      </c>
    </row>
    <row r="45">
      <c r="A45" s="4" t="inlineStr">
        <is>
          <t>HUM-AEMO-2024-ISP-A5</t>
        </is>
      </c>
      <c r="B45" s="4" t="inlineStr">
        <is>
          <t>HumeLink; Hunter Transmission Project; Project Marinus; New England REZ Network Infrastructure Project; Project EnergyConnect; Sydney Ring South (Reinforcing Sydney, Newcastle and Wollongong Supply); VNI West (South West NSW REZ component); VNI West (Victoria); Western Renewables Link</t>
        </is>
      </c>
      <c r="C45" s="4" t="inlineStr">
        <is>
          <t>Australian Energy Market Operator</t>
        </is>
      </c>
      <c r="D45" s="4" t="inlineStr">
        <is>
          <t>2024 ISP Appendix A5 Network Investments</t>
        </is>
      </c>
      <c r="E45" s="4" t="inlineStr">
        <is>
          <t>2024-06</t>
        </is>
      </c>
      <c r="F45" s="4" t="inlineStr">
        <is>
          <t>integrated_system_plan_appendix</t>
        </is>
      </c>
      <c r="G45" s="7" t="inlineStr">
        <is>
          <t>https://www.aemo.com.au/-/media/files/major-publications/isp/2024/appendices/a5-network-investments.pdf</t>
        </is>
      </c>
      <c r="H45" s="4" t="inlineStr">
        <is>
          <t>sources/humelink/originals/AEMO-2024-ISP-Appendix-5.pdf</t>
        </is>
      </c>
      <c r="I45" s="4" t="inlineStr">
        <is>
          <t>sources/humelink/text/AEMO-2024-ISP-Appendix-5.txt</t>
        </is>
      </c>
      <c r="J45" s="4" t="inlineStr">
        <is>
          <t>ea99b4260753614c970abbe7b2e3f91b931f5e99d58105cbd8ca509282934149</t>
        </is>
      </c>
      <c r="K45" s="4" t="inlineStr">
        <is>
          <t>verified</t>
        </is>
      </c>
    </row>
    <row r="46">
      <c r="A46" s="4" t="inlineStr">
        <is>
          <t>HUM-AEMO-2026-ISP-A5</t>
        </is>
      </c>
      <c r="B46" s="4" t="inlineStr">
        <is>
          <t>HumeLink; Hunter Transmission Project; Project Marinus; New England REZ Network Infrastructure Project; Project EnergyConnect; Sydney Ring South (Reinforcing Sydney, Newcastle and Wollongong Supply); VNI West (South West NSW REZ component); VNI West (Victoria); Western Renewables Link</t>
        </is>
      </c>
      <c r="C46" s="4" t="inlineStr">
        <is>
          <t>Australian Energy Market Operator</t>
        </is>
      </c>
      <c r="D46" s="4" t="inlineStr">
        <is>
          <t>2026 ISP Appendix A5 Network Investments</t>
        </is>
      </c>
      <c r="E46" s="4" t="inlineStr">
        <is>
          <t>2026-06</t>
        </is>
      </c>
      <c r="F46" s="4" t="inlineStr">
        <is>
          <t>integrated_system_plan_appendix</t>
        </is>
      </c>
      <c r="G46" s="7" t="inlineStr">
        <is>
          <t>https://www.aemo.com.au/-/media/files/major-publications/isp/2026/appendices/a5-network-investments.pdf</t>
        </is>
      </c>
      <c r="H46" s="4" t="inlineStr">
        <is>
          <t>sources/humelink/originals/AEMO-2026-ISP-Appendix-5.pdf</t>
        </is>
      </c>
      <c r="I46" s="4" t="inlineStr">
        <is>
          <t>sources/humelink/text/AEMO-2026-ISP-Appendix-5.txt</t>
        </is>
      </c>
      <c r="J46" s="4" t="inlineStr">
        <is>
          <t>7df9478c9ca00964219ec301552902cf4fd338c159509daa7f4b900c668364c8</t>
        </is>
      </c>
      <c r="K46" s="4" t="inlineStr">
        <is>
          <t>verified</t>
        </is>
      </c>
    </row>
    <row r="47">
      <c r="A47" s="4" t="inlineStr">
        <is>
          <t>HUM-AER-2021-DISPUTE-DETERMINATION</t>
        </is>
      </c>
      <c r="B47" s="4" t="inlineStr">
        <is>
          <t>HumeLink</t>
        </is>
      </c>
      <c r="C47" s="4" t="inlineStr">
        <is>
          <t>Australian Energy Regulator</t>
        </is>
      </c>
      <c r="D47" s="4" t="inlineStr">
        <is>
          <t>Determination on RIT-T dispute Transgrid HumeLink</t>
        </is>
      </c>
      <c r="E47" s="4" t="inlineStr">
        <is>
          <t>2021-11-24</t>
        </is>
      </c>
      <c r="F47" s="4" t="inlineStr">
        <is>
          <t>rit_t_dispute_determination</t>
        </is>
      </c>
      <c r="G47" s="7" t="inlineStr">
        <is>
          <t>https://www.aer.gov.au/system/files/AER-%20Determination%20on%20RIT-T%20dispute%20-%20TransGrid%20-Humelink-24%20November%202021_1.pdf</t>
        </is>
      </c>
      <c r="H47" s="4" t="inlineStr">
        <is>
          <t>sources/humelink/originals/AER-2021-HumeLink-RITT-dispute-determination.pdf</t>
        </is>
      </c>
      <c r="I47" s="4" t="inlineStr">
        <is>
          <t>sources/humelink/text/AER-2021-HumeLink-RITT-dispute-determination.txt</t>
        </is>
      </c>
      <c r="J47" s="4" t="inlineStr">
        <is>
          <t>c5c57a53249929b8936790021c95f64a5dfe81f1a334a17e3445bd580898a106</t>
        </is>
      </c>
      <c r="K47" s="4" t="inlineStr">
        <is>
          <t>verified</t>
        </is>
      </c>
    </row>
    <row r="48">
      <c r="A48" s="4" t="inlineStr">
        <is>
          <t>HUM-AER-2022-CPA1P1</t>
        </is>
      </c>
      <c r="B48" s="4" t="inlineStr">
        <is>
          <t>HumeLink</t>
        </is>
      </c>
      <c r="C48" s="4" t="inlineStr">
        <is>
          <t>Australian Energy Regulator</t>
        </is>
      </c>
      <c r="D48" s="4" t="inlineStr">
        <is>
          <t>Determination HumeLink Stage 1 Early Works</t>
        </is>
      </c>
      <c r="E48" s="4" t="inlineStr">
        <is>
          <t>2022-08-17</t>
        </is>
      </c>
      <c r="F48" s="4" t="inlineStr">
        <is>
          <t>contingent_project_determination</t>
        </is>
      </c>
      <c r="G48" s="7" t="inlineStr">
        <is>
          <t>https://www.aer.gov.au/system/files/AER%20-%20Determination%20-%20HumeLink%20-%20August%202022.pdf</t>
        </is>
      </c>
      <c r="H48" s="4" t="inlineStr">
        <is>
          <t>sources/humelink/originals/AER-2022-HumeLink-Stage1-Part1-determination.pdf</t>
        </is>
      </c>
      <c r="I48" s="4" t="inlineStr">
        <is>
          <t>sources/humelink/text/AER-2022-HumeLink-Stage1-Part1-determination.txt</t>
        </is>
      </c>
      <c r="J48" s="4" t="inlineStr">
        <is>
          <t>5089a9c17a1098e55ef6a419e05e906791539ced5e82cea8a2408646658997f1</t>
        </is>
      </c>
      <c r="K48" s="4" t="inlineStr">
        <is>
          <t>verified</t>
        </is>
      </c>
    </row>
    <row r="49">
      <c r="A49" s="4" t="inlineStr">
        <is>
          <t>HUM-AER-2023-CPA1P2</t>
        </is>
      </c>
      <c r="B49" s="4" t="inlineStr">
        <is>
          <t>HumeLink</t>
        </is>
      </c>
      <c r="C49" s="4" t="inlineStr">
        <is>
          <t>Australian Energy Regulator</t>
        </is>
      </c>
      <c r="D49" s="4" t="inlineStr">
        <is>
          <t>Determination HumeLink Stage 1 Part 2</t>
        </is>
      </c>
      <c r="E49" s="4" t="inlineStr">
        <is>
          <t>2023-08-25</t>
        </is>
      </c>
      <c r="F49" s="4" t="inlineStr">
        <is>
          <t>contingent_project_determination</t>
        </is>
      </c>
      <c r="G49" s="7" t="inlineStr">
        <is>
          <t>https://www.aer.gov.au/system/files/2023-09/AER%20-%20Determination%20-%20HumeLink%20Stage%201%20%28part%202%29%20-%20August%202023_0.pdf</t>
        </is>
      </c>
      <c r="H49" s="4" t="inlineStr">
        <is>
          <t>sources/humelink/originals/AER-2023-HumeLink-Stage1-Part2-determination.pdf</t>
        </is>
      </c>
      <c r="I49" s="4" t="inlineStr">
        <is>
          <t>sources/humelink/text/AER-2023-HumeLink-Stage1-Part2-determination.txt</t>
        </is>
      </c>
      <c r="J49" s="4" t="inlineStr">
        <is>
          <t>7f7e9c3bd80dc9b31617d732eeca931cfd8ed5ede7a7d10b3b8d27d338f84da5</t>
        </is>
      </c>
      <c r="K49" s="4" t="inlineStr">
        <is>
          <t>verified</t>
        </is>
      </c>
    </row>
    <row r="50">
      <c r="A50" s="4" t="inlineStr">
        <is>
          <t>HUM-AER-2024-CPA2</t>
        </is>
      </c>
      <c r="B50" s="4" t="inlineStr">
        <is>
          <t>HumeLink</t>
        </is>
      </c>
      <c r="C50" s="4" t="inlineStr">
        <is>
          <t>Australian Energy Regulator</t>
        </is>
      </c>
      <c r="D50" s="4" t="inlineStr">
        <is>
          <t>Determination Transgrid HumeLink Stage 2 Contingent Project</t>
        </is>
      </c>
      <c r="E50" s="4" t="inlineStr">
        <is>
          <t>2024-08-02</t>
        </is>
      </c>
      <c r="F50" s="4" t="inlineStr">
        <is>
          <t>contingent_project_determination</t>
        </is>
      </c>
      <c r="G50" s="7" t="inlineStr">
        <is>
          <t>https://www.aer.gov.au/system/files/2024-08/AER%20-%20Determination%20-%20Transgrid%20HumeLink%20Stage%202%20Contingent%20Project%20-%20August%202024.pdf</t>
        </is>
      </c>
      <c r="H50" s="4" t="inlineStr">
        <is>
          <t>sources/humelink/originals/AER-2024-HumeLink-Stage2-determination.pdf</t>
        </is>
      </c>
      <c r="I50" s="4" t="inlineStr">
        <is>
          <t>sources/humelink/text/AER-2024-HumeLink-Stage2-determination.txt</t>
        </is>
      </c>
      <c r="J50" s="4" t="inlineStr">
        <is>
          <t>aabdeb4681461fdc58ca8e79ff5f425452e4532b47f62e9349c8d206cb5bbb5d</t>
        </is>
      </c>
      <c r="K50" s="4" t="inlineStr">
        <is>
          <t>verified</t>
        </is>
      </c>
    </row>
    <row r="51">
      <c r="A51" s="4" t="inlineStr">
        <is>
          <t>HUM-NSW-2024-ASSESSMENT</t>
        </is>
      </c>
      <c r="B51" s="4" t="inlineStr">
        <is>
          <t>HumeLink</t>
        </is>
      </c>
      <c r="C51" s="4" t="inlineStr">
        <is>
          <t>NSW Department of Planning Housing and Infrastructure</t>
        </is>
      </c>
      <c r="D51" s="4" t="inlineStr">
        <is>
          <t>HumeLink State significant infrastructure assessment report</t>
        </is>
      </c>
      <c r="E51" s="4" t="inlineStr">
        <is>
          <t>2024-10</t>
        </is>
      </c>
      <c r="F51" s="4" t="inlineStr">
        <is>
          <t>planning_assessment_report</t>
        </is>
      </c>
      <c r="G51" s="7" t="inlineStr">
        <is>
          <t>https://www.transgrid.com.au/media/wf4pmmx3/assessment-report.pdf</t>
        </is>
      </c>
      <c r="H51" s="4" t="inlineStr">
        <is>
          <t>sources/humelink/originals/NSW-2024-HumeLink-planning-assessment-report.pdf</t>
        </is>
      </c>
      <c r="I51" s="4" t="inlineStr">
        <is>
          <t>sources/humelink/text/NSW-2024-HumeLink-planning-assessment-report.txt</t>
        </is>
      </c>
      <c r="J51" s="4" t="inlineStr">
        <is>
          <t>5a29c47a1f187afed38860d472e51147019b335c9f1417f618ef9d031ab25e74</t>
        </is>
      </c>
      <c r="K51" s="4" t="inlineStr">
        <is>
          <t>verified</t>
        </is>
      </c>
    </row>
    <row r="52">
      <c r="A52" s="4" t="inlineStr">
        <is>
          <t>HUM-NSW-2024-DECISION</t>
        </is>
      </c>
      <c r="B52" s="4" t="inlineStr">
        <is>
          <t>HumeLink</t>
        </is>
      </c>
      <c r="C52" s="4" t="inlineStr">
        <is>
          <t>NSW Government Planning Housing and Infrastructure</t>
        </is>
      </c>
      <c r="D52" s="4" t="inlineStr">
        <is>
          <t>Notice of decision HumeLink</t>
        </is>
      </c>
      <c r="E52" s="4" t="inlineStr">
        <is>
          <t>2024-11-13</t>
        </is>
      </c>
      <c r="F52" s="4" t="inlineStr">
        <is>
          <t>planning_notice_of_decision</t>
        </is>
      </c>
      <c r="G52" s="7" t="inlineStr">
        <is>
          <t>https://majorprojects.planningportal.nsw.gov.au/prweb/PRRestService/mp/01/getContent?AttachRef=SSI-36656827%2120241114T024041.800+GMT</t>
        </is>
      </c>
      <c r="H52" s="4" t="inlineStr">
        <is>
          <t>sources/humelink/originals/NSW-2024-HumeLink-planning-notice-of-determination.pdf</t>
        </is>
      </c>
      <c r="I52" s="4" t="inlineStr">
        <is>
          <t>sources/humelink/text/NSW-2024-HumeLink-planning-notice-of-determination.txt</t>
        </is>
      </c>
      <c r="J52" s="4" t="inlineStr">
        <is>
          <t>f4134a67811e39796aae64bc2be2c505cf53d552f76a03aceae96b686bbed602</t>
        </is>
      </c>
      <c r="K52" s="4" t="inlineStr">
        <is>
          <t>verified</t>
        </is>
      </c>
    </row>
    <row r="53">
      <c r="A53" s="4" t="inlineStr">
        <is>
          <t>HUM-TG-2019-PSCR</t>
        </is>
      </c>
      <c r="B53" s="4" t="inlineStr">
        <is>
          <t>HumeLink</t>
        </is>
      </c>
      <c r="C53" s="4" t="inlineStr">
        <is>
          <t>Transgrid</t>
        </is>
      </c>
      <c r="D53" s="4" t="inlineStr">
        <is>
          <t>Reinforcing the NSW Southern Shared Network to increase transfer capacity to demand centres</t>
        </is>
      </c>
      <c r="E53" s="4" t="inlineStr">
        <is>
          <t>2019-06-25</t>
        </is>
      </c>
      <c r="F53" s="4" t="inlineStr">
        <is>
          <t>project_specification_consultation_report</t>
        </is>
      </c>
      <c r="G53" s="7" t="inlineStr">
        <is>
          <t>https://www.transgrid.com.au/media/chvf0ahp/transgrid-pscr_reinforcing-nsw-southern-shared-network.pdf</t>
        </is>
      </c>
      <c r="H53" s="4" t="inlineStr">
        <is>
          <t>sources/humelink/originals/Transgrid-2019-HumeLink-PSCR.pdf</t>
        </is>
      </c>
      <c r="I53" s="4" t="inlineStr">
        <is>
          <t>sources/humelink/text/Transgrid-2019-HumeLink-PSCR.txt</t>
        </is>
      </c>
      <c r="J53" s="4" t="inlineStr">
        <is>
          <t>b9eb74f53e4de76de5aa978104bf8b281ddfbbdf4fe67faeeb90071e3dc87460</t>
        </is>
      </c>
      <c r="K53" s="4" t="inlineStr">
        <is>
          <t>verified</t>
        </is>
      </c>
    </row>
    <row r="54">
      <c r="A54" s="4" t="inlineStr">
        <is>
          <t>HUM-TG-2020-PADR</t>
        </is>
      </c>
      <c r="B54" s="4" t="inlineStr">
        <is>
          <t>HumeLink</t>
        </is>
      </c>
      <c r="C54" s="4" t="inlineStr">
        <is>
          <t>Transgrid</t>
        </is>
      </c>
      <c r="D54" s="4" t="inlineStr">
        <is>
          <t>Reinforcing the NSW Southern Shared Network to increase transfer capacity to demand centres</t>
        </is>
      </c>
      <c r="E54" s="4" t="inlineStr">
        <is>
          <t>2020-01-15</t>
        </is>
      </c>
      <c r="F54" s="4" t="inlineStr">
        <is>
          <t>project_assessment_draft_report</t>
        </is>
      </c>
      <c r="G54" s="7" t="inlineStr">
        <is>
          <t>https://www.transgrid.com.au/media/xrzd0jv4/transgrid-hume-link-padr-amended.pdf</t>
        </is>
      </c>
      <c r="H54" s="4" t="inlineStr">
        <is>
          <t>sources/humelink/originals/Transgrid-2020-HumeLink-PADR-amended.pdf</t>
        </is>
      </c>
      <c r="I54" s="4" t="inlineStr">
        <is>
          <t>sources/humelink/text/Transgrid-2020-HumeLink-PADR-amended.txt</t>
        </is>
      </c>
      <c r="J54" s="4" t="inlineStr">
        <is>
          <t>63b0a1dc00d1294a2089dfa8a799e622322b9d61b6f7cdc71f087672da870950</t>
        </is>
      </c>
      <c r="K54" s="4" t="inlineStr">
        <is>
          <t>verified</t>
        </is>
      </c>
    </row>
    <row r="55">
      <c r="A55" s="4" t="inlineStr">
        <is>
          <t>HUM-TG-2021-NEWS-SEP</t>
        </is>
      </c>
      <c r="B55" s="4" t="inlineStr">
        <is>
          <t>HumeLink</t>
        </is>
      </c>
      <c r="C55" s="4" t="inlineStr">
        <is>
          <t>Transgrid</t>
        </is>
      </c>
      <c r="D55" s="4" t="inlineStr">
        <is>
          <t>HumeLink Update</t>
        </is>
      </c>
      <c r="E55" s="4" t="inlineStr">
        <is>
          <t>2021-09</t>
        </is>
      </c>
      <c r="F55" s="4" t="inlineStr">
        <is>
          <t>project_update</t>
        </is>
      </c>
      <c r="G55" s="7" t="inlineStr">
        <is>
          <t>https://www.transgrid.com.au/media/ypel3i24/humelink-newsletter-september-2021.pdf</t>
        </is>
      </c>
      <c r="H55" s="4" t="inlineStr">
        <is>
          <t>sources/humelink/originals/Transgrid-2021-HumeLink-newsletter-September.pdf</t>
        </is>
      </c>
      <c r="I55" s="4" t="inlineStr">
        <is>
          <t>sources/humelink/text/Transgrid-2021-HumeLink-newsletter-September.txt</t>
        </is>
      </c>
      <c r="J55" s="4" t="inlineStr">
        <is>
          <t>755a8e120fa8874fbe03ef1bcaa3cf6dfa191af11d68a5f24c456611fa3ed016</t>
        </is>
      </c>
      <c r="K55" s="4" t="inlineStr">
        <is>
          <t>verified</t>
        </is>
      </c>
    </row>
    <row r="56">
      <c r="A56" s="4" t="inlineStr">
        <is>
          <t>HUM-TG-2021-PACR</t>
        </is>
      </c>
      <c r="B56" s="4" t="inlineStr">
        <is>
          <t>HumeLink</t>
        </is>
      </c>
      <c r="C56" s="4" t="inlineStr">
        <is>
          <t>Transgrid</t>
        </is>
      </c>
      <c r="D56" s="4" t="inlineStr">
        <is>
          <t>Reinforcing the NSW Southern Shared Network to increase transfer capacity to demand centres (HumeLink)</t>
        </is>
      </c>
      <c r="E56" s="4" t="inlineStr">
        <is>
          <t>2021-07-29</t>
        </is>
      </c>
      <c r="F56" s="4" t="inlineStr">
        <is>
          <t>project_assessment_conclusions_report</t>
        </is>
      </c>
      <c r="G56" s="7" t="inlineStr">
        <is>
          <t>https://www.transgrid.com.au/media/rxancvmx/transgrid-humelink-pacr.pdf</t>
        </is>
      </c>
      <c r="H56" s="4" t="inlineStr">
        <is>
          <t>sources/humelink/originals/Transgrid-2021-HumeLink-PACR.pdf</t>
        </is>
      </c>
      <c r="I56" s="4" t="inlineStr">
        <is>
          <t>sources/humelink/text/Transgrid-2021-HumeLink-PACR.txt</t>
        </is>
      </c>
      <c r="J56" s="4" t="inlineStr">
        <is>
          <t>ff1bad2422066aa94562d2acd6f73805c8c0d3b6cf9f2ec163275a8709c9f126</t>
        </is>
      </c>
      <c r="K56" s="4" t="inlineStr">
        <is>
          <t>verified</t>
        </is>
      </c>
    </row>
    <row r="57">
      <c r="A57" s="4" t="inlineStr">
        <is>
          <t>HUM-TG-2021-PACR-ADD</t>
        </is>
      </c>
      <c r="B57" s="4" t="inlineStr">
        <is>
          <t>HumeLink</t>
        </is>
      </c>
      <c r="C57" s="4" t="inlineStr">
        <is>
          <t>Transgrid</t>
        </is>
      </c>
      <c r="D57" s="4" t="inlineStr">
        <is>
          <t>Addendum to Project Assessment Conclusions Report</t>
        </is>
      </c>
      <c r="E57" s="4" t="inlineStr">
        <is>
          <t>2021-12-17</t>
        </is>
      </c>
      <c r="F57" s="4" t="inlineStr">
        <is>
          <t>project_assessment_conclusions_report_addendum</t>
        </is>
      </c>
      <c r="G57" s="7" t="inlineStr">
        <is>
          <t>https://www.transgrid.com.au/media/yjzbfi5s/humelink-rit-t-pacr-addendum.pdf</t>
        </is>
      </c>
      <c r="H57" s="4" t="inlineStr">
        <is>
          <t>sources/humelink/originals/Transgrid-2021-HumeLink-PACR-addendum.pdf</t>
        </is>
      </c>
      <c r="I57" s="4" t="inlineStr">
        <is>
          <t>sources/humelink/text/Transgrid-2021-HumeLink-PACR-addendum.txt</t>
        </is>
      </c>
      <c r="J57" s="4" t="inlineStr">
        <is>
          <t>2bb70e8f74d45430612ade09de0dd970def38480a99e5fa9b30857e2cbbd9290</t>
        </is>
      </c>
      <c r="K57" s="4" t="inlineStr">
        <is>
          <t>verified</t>
        </is>
      </c>
    </row>
    <row r="58">
      <c r="A58" s="4" t="inlineStr">
        <is>
          <t>HUM-TG-2021-RFI1</t>
        </is>
      </c>
      <c r="B58" s="4" t="inlineStr">
        <is>
          <t>HumeLink</t>
        </is>
      </c>
      <c r="C58" s="4" t="inlineStr">
        <is>
          <t>Transgrid</t>
        </is>
      </c>
      <c r="D58" s="4" t="inlineStr">
        <is>
          <t>Response to AER information request</t>
        </is>
      </c>
      <c r="E58" s="4" t="inlineStr">
        <is>
          <t>2021-09-01</t>
        </is>
      </c>
      <c r="F58" s="4" t="inlineStr">
        <is>
          <t>regulatory_information_response</t>
        </is>
      </c>
      <c r="G58" s="7" t="inlineStr">
        <is>
          <t>https://www.aer.gov.au/system/files/TransGrid%20-%20Response%20to%20AER%20information%20request-1%20September%202021.pdf</t>
        </is>
      </c>
      <c r="H58" s="4" t="inlineStr">
        <is>
          <t>sources/humelink/originals/Transgrid-2021-HumeLink-AER-RFI-response-1.pdf</t>
        </is>
      </c>
      <c r="I58" s="4" t="inlineStr">
        <is>
          <t>sources/humelink/text/Transgrid-2021-HumeLink-AER-RFI-response-1.txt</t>
        </is>
      </c>
      <c r="J58" s="4" t="inlineStr">
        <is>
          <t>4f794db61c209e29ab92366d2b7a6c205aa23fc20caee5ba864a11e96b9ab27a</t>
        </is>
      </c>
      <c r="K58" s="4" t="inlineStr">
        <is>
          <t>verified</t>
        </is>
      </c>
    </row>
    <row r="59">
      <c r="A59" s="4" t="inlineStr">
        <is>
          <t>HUM-TG-2022-CPA1-SCOPE</t>
        </is>
      </c>
      <c r="B59" s="4" t="inlineStr">
        <is>
          <t>HumeLink</t>
        </is>
      </c>
      <c r="C59" s="4" t="inlineStr">
        <is>
          <t>Transgrid</t>
        </is>
      </c>
      <c r="D59" s="4" t="inlineStr">
        <is>
          <t>A.2 Scope definition document HumeLink Stage 1 early works Contingent Project Application</t>
        </is>
      </c>
      <c r="E59" s="4" t="inlineStr">
        <is>
          <t>2022-04-05</t>
        </is>
      </c>
      <c r="F59" s="4" t="inlineStr">
        <is>
          <t>contingent_project_application_attachment</t>
        </is>
      </c>
      <c r="G59" s="7" t="inlineStr">
        <is>
          <t>https://www.aer.gov.au/system/files/A.2_HumeLink_Scope%20definition_Stage%201%20%28early%20works%29_5%20April%202022_Final_PUBLIC.pdf</t>
        </is>
      </c>
      <c r="H59" s="4" t="inlineStr">
        <is>
          <t>sources/humelink/originals/Transgrid-2022-HumeLink-CPA1-scope-definition.pdf</t>
        </is>
      </c>
      <c r="I59" s="4" t="inlineStr">
        <is>
          <t>sources/humelink/text/Transgrid-2022-HumeLink-CPA1-scope-definition.txt</t>
        </is>
      </c>
      <c r="J59" s="4" t="inlineStr">
        <is>
          <t>004884bb264e301ceb21759be161634e5d070f06d0418a2ca8950880007b2a9d</t>
        </is>
      </c>
      <c r="K59" s="4" t="inlineStr">
        <is>
          <t>verified</t>
        </is>
      </c>
    </row>
    <row r="60">
      <c r="A60" s="4" t="inlineStr">
        <is>
          <t>HUM-TG-2024-CPA2</t>
        </is>
      </c>
      <c r="B60" s="4" t="inlineStr">
        <is>
          <t>HumeLink</t>
        </is>
      </c>
      <c r="C60" s="4" t="inlineStr">
        <is>
          <t>Transgrid</t>
        </is>
      </c>
      <c r="D60" s="4" t="inlineStr">
        <is>
          <t>A.1 Principal Application HumeLink CPA Stage 2</t>
        </is>
      </c>
      <c r="E60" s="4" t="inlineStr">
        <is>
          <t>2024-03-01</t>
        </is>
      </c>
      <c r="F60" s="4" t="inlineStr">
        <is>
          <t>contingent_project_application</t>
        </is>
      </c>
      <c r="G60" s="7" t="inlineStr">
        <is>
          <t>https://www.aer.gov.au/system/files/2024-03/Transgrid%20-%20HumeLink%20CPA%20stage%202%20-%20A.1%20Principal%20Application%20-%2001%20March%202024.pdf</t>
        </is>
      </c>
      <c r="H60" s="4" t="inlineStr">
        <is>
          <t>sources/humelink/originals/Transgrid-2024-HumeLink-CPA2-principal-application.pdf</t>
        </is>
      </c>
      <c r="I60" s="4" t="inlineStr">
        <is>
          <t>sources/humelink/text/Transgrid-2024-HumeLink-CPA2-principal-application.txt</t>
        </is>
      </c>
      <c r="J60" s="4" t="inlineStr">
        <is>
          <t>421137246621dd8752de438c8103e5320812f0f3ed7dc718d88e9fe41103e248</t>
        </is>
      </c>
      <c r="K60" s="4" t="inlineStr">
        <is>
          <t>verified</t>
        </is>
      </c>
    </row>
    <row r="61">
      <c r="A61" s="4" t="inlineStr">
        <is>
          <t>HUM-TG-2024-MCCA</t>
        </is>
      </c>
      <c r="B61" s="4" t="inlineStr">
        <is>
          <t>HumeLink</t>
        </is>
      </c>
      <c r="C61" s="4" t="inlineStr">
        <is>
          <t>Transgrid</t>
        </is>
      </c>
      <c r="D61" s="4" t="inlineStr">
        <is>
          <t>Reinforcing the NSW Southern Shared Network HumeLink Material change in circumstance assessment</t>
        </is>
      </c>
      <c r="E61" s="4" t="inlineStr">
        <is>
          <t>2024-02-29</t>
        </is>
      </c>
      <c r="F61" s="4" t="inlineStr">
        <is>
          <t>material_change_assessment</t>
        </is>
      </c>
      <c r="G61" s="7" t="inlineStr">
        <is>
          <t>https://www.transgrid.com.au/media/q4snvvri/humelink-material-change-circumstance-mcc-assessment-report-feb-24.pdf</t>
        </is>
      </c>
      <c r="H61" s="4" t="inlineStr">
        <is>
          <t>sources/humelink/originals/Transgrid-2024-HumeLink-MCC-assessment.pdf</t>
        </is>
      </c>
      <c r="I61" s="4" t="inlineStr">
        <is>
          <t>sources/humelink/text/Transgrid-2024-HumeLink-MCC-assessment.txt</t>
        </is>
      </c>
      <c r="J61" s="4" t="inlineStr">
        <is>
          <t>bb495f07820456588f26f699722ea6dd6a01f072e67ad19023a2b1c01de2f902</t>
        </is>
      </c>
      <c r="K61" s="4" t="inlineStr">
        <is>
          <t>verified</t>
        </is>
      </c>
    </row>
    <row r="62">
      <c r="A62" s="4" t="inlineStr">
        <is>
          <t>HUM-TG-2025-WEST-NEWS-OCT</t>
        </is>
      </c>
      <c r="B62" s="4" t="inlineStr">
        <is>
          <t>HumeLink</t>
        </is>
      </c>
      <c r="C62" s="4" t="inlineStr">
        <is>
          <t>Transgrid</t>
        </is>
      </c>
      <c r="D62" s="4" t="inlineStr">
        <is>
          <t>HumeLink West Quarterly Newsletter - October 2025</t>
        </is>
      </c>
      <c r="E62" s="4" t="inlineStr">
        <is>
          <t>2025-10</t>
        </is>
      </c>
      <c r="F62" s="4" t="inlineStr">
        <is>
          <t>project_update</t>
        </is>
      </c>
      <c r="G62" s="7" t="inlineStr">
        <is>
          <t>https://www.transgrid.com.au/media/adeet5es/humelink-west-quarterly-newsletter-october-2025.pdf</t>
        </is>
      </c>
      <c r="H62" s="4" t="inlineStr">
        <is>
          <t>sources/humelink/hum-tg-2025-west-news-oct.pdf</t>
        </is>
      </c>
      <c r="I62" s="4" t="inlineStr">
        <is>
          <t>sources/humelink/hum-tg-2025-west-news-oct.txt</t>
        </is>
      </c>
      <c r="J62" s="4" t="inlineStr">
        <is>
          <t>292b509ece2ef2ce8ce006b006c9c370f99f93937ab0db8cdce0b3b8128de6a3</t>
        </is>
      </c>
      <c r="K62" s="4" t="inlineStr">
        <is>
          <t>verified</t>
        </is>
      </c>
    </row>
    <row r="63">
      <c r="A63" s="4" t="inlineStr">
        <is>
          <t>HUM-WUN-2021-DISPUTE</t>
        </is>
      </c>
      <c r="B63" s="4" t="inlineStr">
        <is>
          <t>HumeLink</t>
        </is>
      </c>
      <c r="C63" s="4" t="inlineStr">
        <is>
          <t>Wunelli Pty Ltd</t>
        </is>
      </c>
      <c r="D63" s="4" t="inlineStr">
        <is>
          <t>Reinforcing the NSW Southern Shared Network RIT-T Notice of Dispute</t>
        </is>
      </c>
      <c r="E63" s="4" t="inlineStr">
        <is>
          <t>2021-08-16</t>
        </is>
      </c>
      <c r="F63" s="4" t="inlineStr">
        <is>
          <t>rit_t_dispute_notice</t>
        </is>
      </c>
      <c r="G63" s="7" t="inlineStr">
        <is>
          <t>https://www.aer.gov.au/system/files/Wunelli%20-%20Dispute%20Notice%20under%20Rule%205.16B%20of%20the%20NER%20-%20Humelink%20RIT-T%20-%2016%20August%202021_0.pdf</t>
        </is>
      </c>
      <c r="H63" s="4" t="inlineStr">
        <is>
          <t>sources/humelink/originals/Wunelli-2021-HumeLink-dispute-notice.pdf</t>
        </is>
      </c>
      <c r="I63" s="4" t="inlineStr">
        <is>
          <t>sources/humelink/text/Wunelli-2021-HumeLink-dispute-notice.txt</t>
        </is>
      </c>
      <c r="J63" s="4" t="inlineStr">
        <is>
          <t>212ba7d1f24b164a080149c1105930c5a248ce1719ff964ae4beb688e3fc433a</t>
        </is>
      </c>
      <c r="K63" s="4" t="inlineStr">
        <is>
          <t>verified</t>
        </is>
      </c>
    </row>
    <row r="64">
      <c r="A64" s="4" t="inlineStr">
        <is>
          <t>ML-DCCEEW-2025-FID</t>
        </is>
      </c>
      <c r="B64" s="4" t="inlineStr">
        <is>
          <t>Project Marinus</t>
        </is>
      </c>
      <c r="C64" s="4" t="inlineStr">
        <is>
          <t>Australian Government / Ministers for Climate Change and Energy</t>
        </is>
      </c>
      <c r="D64" s="4" t="inlineStr">
        <is>
          <t>Joint media release: Marinus Link reaches financial close, connecting Tasmania's renewables to the world</t>
        </is>
      </c>
      <c r="E64" s="4" t="inlineStr">
        <is>
          <t>2025-09</t>
        </is>
      </c>
      <c r="F64" s="4" t="inlineStr">
        <is>
          <t>media_release</t>
        </is>
      </c>
      <c r="G64" s="7" t="inlineStr">
        <is>
          <t>https://minister.dcceew.gov.au/bowen/media-releases/joint-media-release-marinus-link-reaches-financial-close-connecting-tasmanias-renewables-world</t>
        </is>
      </c>
      <c r="H64" s="4" t="inlineStr">
        <is>
          <t>sources/marinus-link/ml-dcceew-2025-fid.html</t>
        </is>
      </c>
      <c r="I64" s="4" t="inlineStr">
        <is>
          <t>sources/marinus-link/ml-dcceew-2025-fid.txt</t>
        </is>
      </c>
      <c r="J64" s="4" t="inlineStr">
        <is>
          <t>a1bd65fb72c560349661aca6e5540b94f2036b29fd21af4e3091305f147106f1</t>
        </is>
      </c>
      <c r="K64" s="4" t="inlineStr">
        <is>
          <t>verified</t>
        </is>
      </c>
    </row>
    <row r="65">
      <c r="A65" s="4" t="inlineStr">
        <is>
          <t>ML-EY-2024-RITT</t>
        </is>
      </c>
      <c r="B65" s="4" t="inlineStr">
        <is>
          <t>Project Marinus</t>
        </is>
      </c>
      <c r="C65" s="4" t="inlineStr">
        <is>
          <t>Ernst &amp; Young for TasNetworks</t>
        </is>
      </c>
      <c r="D65" s="4" t="inlineStr">
        <is>
          <t>Project Marinus RIT-T update gross benefits report</t>
        </is>
      </c>
      <c r="E65" s="4" t="inlineStr">
        <is>
          <t>2024-03-28</t>
        </is>
      </c>
      <c r="F65" s="4" t="inlineStr">
        <is>
          <t>benefits report</t>
        </is>
      </c>
      <c r="G65" s="7" t="inlineStr">
        <is>
          <t>https://www.marinuslink.com.au/wp-content/uploads/2024/04/EY-report-Project-Marinus-Gross-Benefits-28-March-2024.pdf</t>
        </is>
      </c>
      <c r="H65" s="4" t="inlineStr">
        <is>
          <t>sources/marinus-link/originals/EY-2024-Marinus-Link-Gross-Benefits.pdf</t>
        </is>
      </c>
      <c r="I65" s="4" t="inlineStr">
        <is>
          <t>sources/marinus-link/text/EY-2024-Marinus-Link-Gross-Benefits.txt</t>
        </is>
      </c>
      <c r="J65" s="4" t="inlineStr">
        <is>
          <t>637ad96fa75ffa1bb6ad891f8b92d4fc0555f453e604d7873fad24d23324b190</t>
        </is>
      </c>
      <c r="K65" s="4" t="inlineStr">
        <is>
          <t>verified</t>
        </is>
      </c>
    </row>
    <row r="66">
      <c r="A66" s="4" t="inlineStr">
        <is>
          <t>ML-EY-2025-ADD</t>
        </is>
      </c>
      <c r="B66" s="4" t="inlineStr">
        <is>
          <t>Project Marinus</t>
        </is>
      </c>
      <c r="C66" s="4" t="inlineStr">
        <is>
          <t>Ernst &amp; Young for TasNetworks</t>
        </is>
      </c>
      <c r="D66" s="4" t="inlineStr">
        <is>
          <t>Gross market benefit assessment addendum</t>
        </is>
      </c>
      <c r="E66" s="4" t="inlineStr">
        <is>
          <t>2025-10-31</t>
        </is>
      </c>
      <c r="F66" s="4" t="inlineStr">
        <is>
          <t>benefits report</t>
        </is>
      </c>
      <c r="G66" s="7" t="inlineStr">
        <is>
          <t>https://www.marinuslink.com.au/wp-content/uploads/2025/10/Gross-market-benefit-assessment_Marinus-Link_AddendumReport_2025_10_31a.pdf</t>
        </is>
      </c>
      <c r="H66" s="4" t="inlineStr">
        <is>
          <t>sources/marinus-link/originals/EY-2025-Marinus-Link-Gross-Benefits-Addendum.pdf</t>
        </is>
      </c>
      <c r="I66" s="4" t="inlineStr">
        <is>
          <t>sources/marinus-link/text/EY-2025-Marinus-Link-Gross-Benefits-Addendum.txt</t>
        </is>
      </c>
      <c r="J66" s="4" t="inlineStr">
        <is>
          <t>d90ff9076eaf9ad9fdb6cec1657af17c15c1ec9e345039b718672fb64b3263e8</t>
        </is>
      </c>
      <c r="K66" s="4" t="inlineStr">
        <is>
          <t>verified</t>
        </is>
      </c>
    </row>
    <row r="67">
      <c r="A67" s="4" t="inlineStr">
        <is>
          <t>ML-MLPL-2025-CONTRACT</t>
        </is>
      </c>
      <c r="B67" s="4" t="inlineStr">
        <is>
          <t>Project Marinus</t>
        </is>
      </c>
      <c r="C67" s="4" t="inlineStr">
        <is>
          <t>Marinus Link Pty Ltd</t>
        </is>
      </c>
      <c r="D67" s="4" t="inlineStr">
        <is>
          <t>Marinus Link awards major contract for civils and construction</t>
        </is>
      </c>
      <c r="E67" s="4" t="inlineStr">
        <is>
          <t>2025-12</t>
        </is>
      </c>
      <c r="F67" s="4" t="inlineStr">
        <is>
          <t>media_release</t>
        </is>
      </c>
      <c r="G67" s="7" t="inlineStr">
        <is>
          <t>https://www.marinuslink.com.au/2025/12/marinus-link-awards-major-contract-for-civils-and-construction/</t>
        </is>
      </c>
      <c r="H67" s="4" t="inlineStr">
        <is>
          <t>sources/marinus-link/ml-mlpl-2025-contract.html</t>
        </is>
      </c>
      <c r="I67" s="4" t="inlineStr">
        <is>
          <t>sources/marinus-link/ml-mlpl-2025-contract.txt</t>
        </is>
      </c>
      <c r="J67" s="4" t="inlineStr">
        <is>
          <t>4c4e5fee2ee5c50acd2a3b32616822a51e4b8e7d8c74e34f5a80f338b050bc06</t>
        </is>
      </c>
      <c r="K67" s="4" t="inlineStr">
        <is>
          <t>verified</t>
        </is>
      </c>
    </row>
    <row r="68">
      <c r="A68" s="4" t="inlineStr">
        <is>
          <t>ML-TN-2021-PACR</t>
        </is>
      </c>
      <c r="B68" s="4" t="inlineStr">
        <is>
          <t>Project Marinus</t>
        </is>
      </c>
      <c r="C68" s="4" t="inlineStr">
        <is>
          <t>TasNetworks</t>
        </is>
      </c>
      <c r="D68" s="4" t="inlineStr">
        <is>
          <t>Project Marinus RIT-T Project Assessment Conclusions Report</t>
        </is>
      </c>
      <c r="E68" s="4" t="inlineStr">
        <is>
          <t>2021-06</t>
        </is>
      </c>
      <c r="F68" s="4" t="inlineStr">
        <is>
          <t>RIT-T PACR</t>
        </is>
      </c>
      <c r="G68" s="7" t="inlineStr">
        <is>
          <t>https://www.marinuslink.com.au/wp-content/uploads/2021/06/Project-Marinus-RIT-T-PACR.pdf</t>
        </is>
      </c>
      <c r="H68" s="4" t="inlineStr">
        <is>
          <t>sources/marinus-link/originals/TasNetworks-2021-Project-Marinus-PACR.pdf</t>
        </is>
      </c>
      <c r="I68" s="4" t="inlineStr">
        <is>
          <t>sources/marinus-link/text/TasNetworks-2021-Project-Marinus-PACR.txt</t>
        </is>
      </c>
      <c r="J68" s="4" t="inlineStr">
        <is>
          <t>35abb33c57ae71d89a38881d2ada5f4eacd8e74393e6d4171a512a0a0cc94609</t>
        </is>
      </c>
      <c r="K68" s="4" t="inlineStr">
        <is>
          <t>verified</t>
        </is>
      </c>
    </row>
    <row r="69">
      <c r="A69" s="4" t="inlineStr">
        <is>
          <t>ML-TN-2025-RITT</t>
        </is>
      </c>
      <c r="B69" s="4" t="inlineStr">
        <is>
          <t>Project Marinus</t>
        </is>
      </c>
      <c r="C69" s="4" t="inlineStr">
        <is>
          <t>TasNetworks</t>
        </is>
      </c>
      <c r="D69" s="4" t="inlineStr">
        <is>
          <t>Project Marinus RIT-T update report summary</t>
        </is>
      </c>
      <c r="E69" s="4" t="inlineStr">
        <is>
          <t>2025-07</t>
        </is>
      </c>
      <c r="F69" s="4" t="inlineStr">
        <is>
          <t>RIT-T update</t>
        </is>
      </c>
      <c r="G69" s="7" t="inlineStr">
        <is>
          <t>https://www.marinuslink.com.au/wp-content/uploads/2025/07/Summary-RIT-T-update-report-July-2025-1.pdf</t>
        </is>
      </c>
      <c r="H69" s="4" t="inlineStr">
        <is>
          <t>sources/marinus-link/originals/TasNetworks-2025-Marinus-Link-RIT-T-update-summary.pdf</t>
        </is>
      </c>
      <c r="I69" s="4" t="inlineStr">
        <is>
          <t>sources/marinus-link/text/TasNetworks-2025-Marinus-Link-RIT-T-update-summary.txt</t>
        </is>
      </c>
      <c r="J69" s="4" t="inlineStr">
        <is>
          <t>b3659c9f6c20e915f65988837c6f80f356e1991c1e2827a5d2a4233569fa3fdd</t>
        </is>
      </c>
      <c r="K69" s="4" t="inlineStr">
        <is>
          <t>verified</t>
        </is>
      </c>
    </row>
    <row r="70">
      <c r="A70" s="4" t="inlineStr">
        <is>
          <t>NER-ENERGYCO-2025-BULKCORRIDOR</t>
        </is>
      </c>
      <c r="B70" s="4" t="inlineStr">
        <is>
          <t>New England REZ Network Infrastructure Project</t>
        </is>
      </c>
      <c r="C70" s="4" t="inlineStr">
        <is>
          <t>EnergyCo NSW</t>
        </is>
      </c>
      <c r="D70" s="4" t="inlineStr">
        <is>
          <t>New England REZ Bulk Corridor Design Refinement Report</t>
        </is>
      </c>
      <c r="E70" s="4" t="inlineStr">
        <is>
          <t>2025-11</t>
        </is>
      </c>
      <c r="F70" s="4" t="inlineStr">
        <is>
          <t>technical_report</t>
        </is>
      </c>
      <c r="G70" s="7" t="inlineStr">
        <is>
          <t>https://www.energyco.nsw.gov.au/sites/default/files/2025-11/NE%20REZ_Bulk%20Corridor%20Design%20Refinement%20Report_Nov25.pdf</t>
        </is>
      </c>
      <c r="H70" s="4" t="inlineStr">
        <is>
          <t>sources/new-england-rez/ner-energyco-2025-bulkcorridor.pdf</t>
        </is>
      </c>
      <c r="I70" s="4" t="inlineStr">
        <is>
          <t>sources/new-england-rez/ner-energyco-2025-bulkcorridor.txt</t>
        </is>
      </c>
      <c r="J70" s="4" t="inlineStr">
        <is>
          <t>b89e12611d1b80f885f5a9cc0c033d9adc94c951d1040e764b94e71d58bc0f2d</t>
        </is>
      </c>
      <c r="K70" s="4" t="inlineStr">
        <is>
          <t>verified</t>
        </is>
      </c>
    </row>
    <row r="71">
      <c r="A71" s="4" t="inlineStr">
        <is>
          <t>NER-ENERGYCO-2025-CONSULTATION</t>
        </is>
      </c>
      <c r="B71" s="4" t="inlineStr">
        <is>
          <t>New England REZ Network Infrastructure Project</t>
        </is>
      </c>
      <c r="C71" s="4" t="inlineStr">
        <is>
          <t>EnergyCo NSW</t>
        </is>
      </c>
      <c r="D71" s="4" t="inlineStr">
        <is>
          <t>New England REZ Generation and Storage Consultation Paper</t>
        </is>
      </c>
      <c r="E71" s="4" t="inlineStr">
        <is>
          <t>2025-08</t>
        </is>
      </c>
      <c r="F71" s="4" t="inlineStr">
        <is>
          <t>consultation_paper</t>
        </is>
      </c>
      <c r="G71" s="7" t="inlineStr">
        <is>
          <t>https://www.energyco.nsw.gov.au/sites/default/files/2025-08/new-england-rez-generation-and-storage-consultation-paper.pdf</t>
        </is>
      </c>
      <c r="H71" s="4" t="inlineStr">
        <is>
          <t>sources/new-england-rez/ner-energyco-2025-generation-storage-consultation.pdf</t>
        </is>
      </c>
      <c r="I71" s="4" t="inlineStr">
        <is>
          <t>sources/new-england-rez/ner-energyco-2025-generation-storage-consultation.txt</t>
        </is>
      </c>
      <c r="J71" s="4" t="inlineStr">
        <is>
          <t>960198ef247ef568951de1997b2888c5f6723326be5474d9c2b1f425aa4b312a</t>
        </is>
      </c>
      <c r="K71" s="4" t="inlineStr">
        <is>
          <t>verified</t>
        </is>
      </c>
    </row>
    <row r="72">
      <c r="A72" s="4" t="inlineStr">
        <is>
          <t>NER-ENERGYCO-2026-FEEDBACK</t>
        </is>
      </c>
      <c r="B72" s="4" t="inlineStr">
        <is>
          <t>New England REZ Network Infrastructure Project</t>
        </is>
      </c>
      <c r="C72" s="4" t="inlineStr">
        <is>
          <t>EnergyCo NSW</t>
        </is>
      </c>
      <c r="D72" s="4" t="inlineStr">
        <is>
          <t>New England REZ Community Feedback Report (April 2026) incl. Bulk Corridor Refinement Study</t>
        </is>
      </c>
      <c r="E72" s="4" t="inlineStr">
        <is>
          <t>2026-04</t>
        </is>
      </c>
      <c r="F72" s="4" t="inlineStr">
        <is>
          <t>feedback_report</t>
        </is>
      </c>
      <c r="G72" s="7" t="inlineStr">
        <is>
          <t>https://www.energyco.nsw.gov.au/sites/default/files/2026-04/Feedback%20report%20%28April%202026%29.pdf</t>
        </is>
      </c>
      <c r="H72" s="4" t="inlineStr">
        <is>
          <t>sources/new-england-rez/ner-energyco-2026-feedback-report.pdf</t>
        </is>
      </c>
      <c r="I72" s="4" t="inlineStr">
        <is>
          <t>sources/new-england-rez/ner-energyco-2026-feedback-report.txt</t>
        </is>
      </c>
      <c r="J72" s="4" t="inlineStr">
        <is>
          <t>ac200b72ff428ec334fa99a6cf72fa086a7a7caa3532a71b2b946a7d4a93037e</t>
        </is>
      </c>
      <c r="K72" s="4" t="inlineStr">
        <is>
          <t>verified</t>
        </is>
      </c>
    </row>
    <row r="73">
      <c r="A73" s="4" t="inlineStr">
        <is>
          <t>NER-NSWGOV-2021-GAZETTE-643</t>
        </is>
      </c>
      <c r="B73" s="4" t="inlineStr">
        <is>
          <t>New England REZ Network Infrastructure Project</t>
        </is>
      </c>
      <c r="C73" s="4" t="inlineStr">
        <is>
          <t>NSW Government</t>
        </is>
      </c>
      <c r="D73" s="4" t="inlineStr">
        <is>
          <t>NSW Government Gazette No 643, 17 December 2021 (New England REZ declaration)</t>
        </is>
      </c>
      <c r="E73" s="4" t="inlineStr">
        <is>
          <t>2021-12-17</t>
        </is>
      </c>
      <c r="F73" s="4" t="inlineStr">
        <is>
          <t>gazette_declaration</t>
        </is>
      </c>
      <c r="G73" s="7" t="inlineStr">
        <is>
          <t>https://gazette.nsw.gov.au/gazette/2021/12/2021-643.pdf</t>
        </is>
      </c>
      <c r="H73" s="4" t="inlineStr">
        <is>
          <t>sources/new-england-rez/ner-nswgov-2021-gazette-643.pdf</t>
        </is>
      </c>
      <c r="I73" s="4" t="inlineStr">
        <is>
          <t>sources/new-england-rez/ner-nswgov-2021-gazette-643.txt</t>
        </is>
      </c>
      <c r="J73" s="4" t="inlineStr">
        <is>
          <t>615b1a903f21b2a79acfc7b136494ec183f0e2189a5123569c88fcb42eb021f4</t>
        </is>
      </c>
      <c r="K73" s="4" t="inlineStr">
        <is>
          <t>verified</t>
        </is>
      </c>
    </row>
    <row r="74">
      <c r="A74" s="4" t="inlineStr">
        <is>
          <t>PEC-AER-2020-ELECTRANET-APPLICATION</t>
        </is>
      </c>
      <c r="B74" s="4" t="inlineStr">
        <is>
          <t>Project EnergyConnect</t>
        </is>
      </c>
      <c r="C74" s="4" t="inlineStr">
        <is>
          <t>ElectraNet</t>
        </is>
      </c>
      <c r="D74" s="4" t="inlineStr">
        <is>
          <t>Project EnergyConnect contingent project application</t>
        </is>
      </c>
      <c r="E74" s="4" t="inlineStr">
        <is>
          <t>2020-09-30</t>
        </is>
      </c>
      <c r="F74" s="4" t="inlineStr">
        <is>
          <t>contingent_project_application</t>
        </is>
      </c>
      <c r="G74" s="7" t="inlineStr">
        <is>
          <t>https://www.aer.gov.au/system/files/ElectraNet%20-%20Project%20EnergyConnect%20Contingent%20Project%20Application%20-%2030%20September%202020.pdf</t>
        </is>
      </c>
      <c r="H74" s="4" t="inlineStr">
        <is>
          <t>sources/project-energyconnect/originals/ElectraNet-2020-PEC-principal-application.pdf</t>
        </is>
      </c>
      <c r="I74" s="4" t="inlineStr">
        <is>
          <t>sources/project-energyconnect/text/ElectraNet-2020-PEC-principal-application.txt</t>
        </is>
      </c>
      <c r="J74" s="4" t="inlineStr">
        <is>
          <t>bd0c09c2c0926a4c2705cb3cb9dcedbcd0a7d4b3e1dc0196c31be034f1dc503e</t>
        </is>
      </c>
      <c r="K74" s="4" t="inlineStr">
        <is>
          <t>verified</t>
        </is>
      </c>
    </row>
    <row r="75">
      <c r="A75" s="4" t="inlineStr">
        <is>
          <t>PEC-AER-2020-TRANSGRID-APPLICATION</t>
        </is>
      </c>
      <c r="B75" s="4" t="inlineStr">
        <is>
          <t>Project EnergyConnect</t>
        </is>
      </c>
      <c r="C75" s="4" t="inlineStr">
        <is>
          <t>TransGrid</t>
        </is>
      </c>
      <c r="D75" s="4" t="inlineStr">
        <is>
          <t>Project EnergyConnect principal application</t>
        </is>
      </c>
      <c r="E75" s="4" t="inlineStr">
        <is>
          <t>2020-06-29</t>
        </is>
      </c>
      <c r="F75" s="4" t="inlineStr">
        <is>
          <t>contingent_project_application</t>
        </is>
      </c>
      <c r="G75" s="7" t="inlineStr">
        <is>
          <t>https://www.aer.gov.au/system/files/TransGrid%20-%20Project%20%20EnergyConnect%20-%20Principal%20Application%20-%2029%20June%202020.pdf</t>
        </is>
      </c>
      <c r="H75" s="4" t="inlineStr">
        <is>
          <t>sources/project-energyconnect/originals/TransGrid-2020-PEC-principal-application.pdf</t>
        </is>
      </c>
      <c r="I75" s="4" t="inlineStr">
        <is>
          <t>sources/project-energyconnect/text/TransGrid-2020-PEC-principal-application.txt</t>
        </is>
      </c>
      <c r="J75" s="4" t="inlineStr">
        <is>
          <t>f0c51ab0add31e2057f7a1db26dc2496e86ae49ce4d0829504f5d521fb6d22b1</t>
        </is>
      </c>
      <c r="K75" s="4" t="inlineStr">
        <is>
          <t>verified</t>
        </is>
      </c>
    </row>
    <row r="76">
      <c r="A76" s="4" t="inlineStr">
        <is>
          <t>PEC-AER-2021-ELECTRANET-DECISION</t>
        </is>
      </c>
      <c r="B76" s="4" t="inlineStr">
        <is>
          <t>Project EnergyConnect</t>
        </is>
      </c>
      <c r="C76" s="4" t="inlineStr">
        <is>
          <t>Australian Energy Regulator</t>
        </is>
      </c>
      <c r="D76" s="4" t="inlineStr">
        <is>
          <t>Final Decision ElectraNet Project EnergyConnect contingent project</t>
        </is>
      </c>
      <c r="E76" s="4" t="inlineStr">
        <is>
          <t>2021-05-28</t>
        </is>
      </c>
      <c r="F76" s="4" t="inlineStr">
        <is>
          <t>contingent_project_determination</t>
        </is>
      </c>
      <c r="G76" s="7" t="inlineStr">
        <is>
          <t>https://www.aer.gov.au/system/files/AER%20-%20Final%20Decision%20-%20ElectraNet%20-%20Project%20EnergyConnect%20Contingent%20Project%20-%20May%202021.pdf</t>
        </is>
      </c>
      <c r="H76" s="4" t="inlineStr">
        <is>
          <t>sources/project-energyconnect/originals/AER-2021-ElectraNet-PEC-determination.pdf</t>
        </is>
      </c>
      <c r="I76" s="4" t="inlineStr">
        <is>
          <t>sources/project-energyconnect/text/AER-2021-ElectraNet-PEC-determination.txt</t>
        </is>
      </c>
      <c r="J76" s="4" t="inlineStr">
        <is>
          <t>8a33b67b5636db0c8a94c16e64e686fa587afa82cd1796e1c60627b523f6e26c</t>
        </is>
      </c>
      <c r="K76" s="4" t="inlineStr">
        <is>
          <t>verified</t>
        </is>
      </c>
    </row>
    <row r="77">
      <c r="A77" s="4" t="inlineStr">
        <is>
          <t>PEC-AER-2021-TRANSGRID-DECISION</t>
        </is>
      </c>
      <c r="B77" s="4" t="inlineStr">
        <is>
          <t>Project EnergyConnect</t>
        </is>
      </c>
      <c r="C77" s="4" t="inlineStr">
        <is>
          <t>Australian Energy Regulator</t>
        </is>
      </c>
      <c r="D77" s="4" t="inlineStr">
        <is>
          <t>Final Decision TransGrid Project EnergyConnect contingent project</t>
        </is>
      </c>
      <c r="E77" s="4" t="inlineStr">
        <is>
          <t>2021-05-28</t>
        </is>
      </c>
      <c r="F77" s="4" t="inlineStr">
        <is>
          <t>contingent_project_determination</t>
        </is>
      </c>
      <c r="G77" s="7" t="inlineStr">
        <is>
          <t>https://www.aer.gov.au/system/files/AER%20-%20Final%20Decision%20-%20TransGrid%20-%20Project%20EnergyConnect%20Contingent%20Project%20-%20May%202021.pdf</t>
        </is>
      </c>
      <c r="H77" s="4" t="inlineStr">
        <is>
          <t>sources/project-energyconnect/originals/AER-2021-TransGrid-PEC-determination.pdf</t>
        </is>
      </c>
      <c r="I77" s="4" t="inlineStr">
        <is>
          <t>sources/project-energyconnect/text/AER-2021-TransGrid-PEC-determination.txt</t>
        </is>
      </c>
      <c r="J77" s="4" t="inlineStr">
        <is>
          <t>79cc7ed762ccd98448a5d3e61a9246a6f02822d8add5137aee6380aca7b02e41</t>
        </is>
      </c>
      <c r="K77" s="4" t="inlineStr">
        <is>
          <t>verified</t>
        </is>
      </c>
    </row>
    <row r="78">
      <c r="A78" s="4" t="inlineStr">
        <is>
          <t>PEC-AER-2026-REOPEN</t>
        </is>
      </c>
      <c r="B78" s="4" t="inlineStr">
        <is>
          <t>Project EnergyConnect</t>
        </is>
      </c>
      <c r="C78" s="4" t="inlineStr">
        <is>
          <t>TransGrid (application to Australian Energy Regulator)</t>
        </is>
      </c>
      <c r="D78" s="4" t="inlineStr">
        <is>
          <t>Project EnergyConnect - An application to reopen the 2023-2028 Revenue Determination</t>
        </is>
      </c>
      <c r="E78" s="4" t="inlineStr">
        <is>
          <t>2026-02</t>
        </is>
      </c>
      <c r="F78" s="4" t="inlineStr">
        <is>
          <t>revenue_determination_reopener_application</t>
        </is>
      </c>
      <c r="G78" s="7" t="inlineStr">
        <is>
          <t>https://www.aer.gov.au/system/files/2026-03/Project%20EnergyConnect%20-%20An%20application%20to%20reopen%20the%202023-2028%20Revenue%20Determination%20-%20Transgrid%20-%2020260213%20-%20PUBLIC_0.pdf</t>
        </is>
      </c>
      <c r="H78" s="4" t="inlineStr">
        <is>
          <t>sources/project-energyconnect/pec-aer-2026-reopen.pdf</t>
        </is>
      </c>
      <c r="I78" s="4" t="inlineStr">
        <is>
          <t>sources/project-energyconnect/pec-aer-2026-reopen.txt</t>
        </is>
      </c>
      <c r="J78" s="4" t="inlineStr">
        <is>
          <t>4445466951c37241b06a461e7348b48b82453d4c41c3c34bf3245ac64ac520e6</t>
        </is>
      </c>
      <c r="K78" s="4" t="inlineStr">
        <is>
          <t>verified</t>
        </is>
      </c>
    </row>
    <row r="79">
      <c r="A79" s="4" t="inlineStr">
        <is>
          <t>PEC-JOINT-2026-PROJECT-PAGE</t>
        </is>
      </c>
      <c r="B79" s="4" t="inlineStr">
        <is>
          <t>Project EnergyConnect</t>
        </is>
      </c>
      <c r="C79" s="4" t="inlineStr">
        <is>
          <t>ElectraNet / Transgrid</t>
        </is>
      </c>
      <c r="D79" s="4" t="inlineStr">
        <is>
          <t>Project EnergyConnect - official joint project website</t>
        </is>
      </c>
      <c r="E79" s="4" t="inlineStr">
        <is>
          <t>2026-09</t>
        </is>
      </c>
      <c r="F79" s="4" t="inlineStr">
        <is>
          <t>project_webpage</t>
        </is>
      </c>
      <c r="G79" s="7" t="inlineStr">
        <is>
          <t>https://www.projectenergyconnect.com.au/</t>
        </is>
      </c>
      <c r="H79" s="4" t="inlineStr">
        <is>
          <t>sources/project-energyconnect/pec-joint-2026-project-page.html</t>
        </is>
      </c>
      <c r="I79" s="4" t="inlineStr">
        <is>
          <t>sources/project-energyconnect/pec-joint-2026-project-page.txt</t>
        </is>
      </c>
      <c r="J79" s="4" t="inlineStr">
        <is>
          <t>d7b387e27a5dab19b0e4de672ea27a75b7ca21c4d04d7be5ce5010a793fe4469</t>
        </is>
      </c>
      <c r="K79" s="4" t="inlineStr">
        <is>
          <t>verified</t>
        </is>
      </c>
    </row>
    <row r="80">
      <c r="A80" s="4" t="inlineStr">
        <is>
          <t>PEC-TG-2026-ATTACHMENT2</t>
        </is>
      </c>
      <c r="B80" s="4" t="inlineStr">
        <is>
          <t>Project EnergyConnect</t>
        </is>
      </c>
      <c r="C80" s="4" t="inlineStr">
        <is>
          <t>TransGrid (application to Australian Energy Regulator)</t>
        </is>
      </c>
      <c r="D80" s="4" t="inlineStr">
        <is>
          <t>Attachment 2 - Project EnergyConnect and Contract Failure</t>
        </is>
      </c>
      <c r="E80" s="4" t="inlineStr">
        <is>
          <t>2026-02</t>
        </is>
      </c>
      <c r="F80" s="4" t="inlineStr">
        <is>
          <t>revenue_determination_reopener_attachment</t>
        </is>
      </c>
      <c r="G80" s="7" t="inlineStr">
        <is>
          <t>https://www.aer.gov.au/system/files/2026-03/Attachment%202%20-%20Project%20EnergyConnect%20and%20Contract%20Failure%20-%20Transgrid%20-%2020260213%20-%20PUBLIC_0.pdf</t>
        </is>
      </c>
      <c r="H80" s="4" t="inlineStr">
        <is>
          <t>sources/project-energyconnect/pec-tg-2026-attachment2.pdf</t>
        </is>
      </c>
      <c r="I80" s="4" t="inlineStr">
        <is>
          <t>sources/project-energyconnect/pec-tg-2026-attachment2.txt</t>
        </is>
      </c>
      <c r="J80" s="4" t="inlineStr">
        <is>
          <t>45f333644fdb7a0fd9527c78c2e31bef20d59d112486ba0ba1a84e908b5f9a3c</t>
        </is>
      </c>
      <c r="K80" s="4" t="inlineStr">
        <is>
          <t>verified</t>
        </is>
      </c>
    </row>
    <row r="81">
      <c r="A81" s="4" t="inlineStr">
        <is>
          <t>PEC-TG-2026-COMPLETION</t>
        </is>
      </c>
      <c r="B81" s="4" t="inlineStr">
        <is>
          <t>Project EnergyConnect</t>
        </is>
      </c>
      <c r="C81" s="4" t="inlineStr">
        <is>
          <t>Transgrid</t>
        </is>
      </c>
      <c r="D81" s="4" t="inlineStr">
        <is>
          <t>EnergyConnect powers up as clean energy transition forges ahead</t>
        </is>
      </c>
      <c r="E81" s="4" t="inlineStr">
        <is>
          <t>2026-06</t>
        </is>
      </c>
      <c r="F81" s="4" t="inlineStr">
        <is>
          <t>media_release</t>
        </is>
      </c>
      <c r="G81" s="7" t="inlineStr">
        <is>
          <t>https://www.transgrid.com.au/media-publications/news-articles/energyconnect-powers-up-as-clean-energy-transition-forges-ahead/</t>
        </is>
      </c>
      <c r="H81" s="4" t="inlineStr">
        <is>
          <t>sources/project-energyconnect/pec-tg-2026-completion.html</t>
        </is>
      </c>
      <c r="I81" s="4" t="inlineStr">
        <is>
          <t>sources/project-energyconnect/pec-tg-2026-completion.txt</t>
        </is>
      </c>
      <c r="J81" s="4" t="inlineStr">
        <is>
          <t>110333c1b8a06351e3ebf1260388c7391ed6a0156950173e505f6b98e29ae36a</t>
        </is>
      </c>
      <c r="K81" s="4" t="inlineStr">
        <is>
          <t>verified</t>
        </is>
      </c>
    </row>
    <row r="82">
      <c r="A82" s="4" t="inlineStr">
        <is>
          <t>PEC-TG-PROJECT-PAGE</t>
        </is>
      </c>
      <c r="B82" s="4" t="inlineStr">
        <is>
          <t>Project EnergyConnect</t>
        </is>
      </c>
      <c r="C82" s="4" t="inlineStr">
        <is>
          <t>Transgrid</t>
        </is>
      </c>
      <c r="D82" s="4" t="inlineStr">
        <is>
          <t>EnergyConnect project page</t>
        </is>
      </c>
      <c r="E82" s="4" t="inlineStr"/>
      <c r="F82" s="4" t="inlineStr">
        <is>
          <t>project_webpage</t>
        </is>
      </c>
      <c r="G82" s="7" t="inlineStr">
        <is>
          <t>https://www.transgrid.com.au/projects-innovation/energyconnect/</t>
        </is>
      </c>
      <c r="H82" s="4" t="inlineStr">
        <is>
          <t>sources/project-energyconnect/originals/Transgrid-PEC-project-page.html</t>
        </is>
      </c>
      <c r="I82" s="4" t="inlineStr">
        <is>
          <t>sources/project-energyconnect/text/Transgrid-PEC-project-page.html.txt</t>
        </is>
      </c>
      <c r="J82" s="4" t="inlineStr">
        <is>
          <t>51468440327d7430eb082e12bce43063714e69a075618d24ec1d8bf34b9c8662</t>
        </is>
      </c>
      <c r="K82" s="4" t="inlineStr">
        <is>
          <t>verified</t>
        </is>
      </c>
    </row>
    <row r="83">
      <c r="A83" s="4" t="inlineStr">
        <is>
          <t>SRS-TG-2023-SOUTHERN-RING</t>
        </is>
      </c>
      <c r="B83" s="4" t="inlineStr">
        <is>
          <t>Sydney Ring South (Reinforcing Sydney, Newcastle and Wollongong Supply)</t>
        </is>
      </c>
      <c r="C83" s="4" t="inlineStr">
        <is>
          <t>Transgrid</t>
        </is>
      </c>
      <c r="D83" s="4" t="inlineStr">
        <is>
          <t>ISP Preparatory Activities – Reinforcing Sydney, Newcastle and Wollongong Supply (Southern Ring)</t>
        </is>
      </c>
      <c r="E83" s="4" t="inlineStr">
        <is>
          <t>2023-06</t>
        </is>
      </c>
      <c r="F83" s="4" t="inlineStr">
        <is>
          <t>isp_preparatory_activities</t>
        </is>
      </c>
      <c r="G83" s="7" t="inlineStr">
        <is>
          <t>https://www.aemo.com.au/-/media/files/major-publications/isp/2023/teor-reference-materials/transgrid--reinforcing-sydney-newcastle-and-wollongong-supply-southern-ring.pdf</t>
        </is>
      </c>
      <c r="H83" s="4" t="inlineStr">
        <is>
          <t>sources/sydney-ring-south/srs-transgrid-2023-southern-ring-isp-preparatory.pdf</t>
        </is>
      </c>
      <c r="I83" s="4" t="inlineStr">
        <is>
          <t>sources/sydney-ring-south/srs-transgrid-2023-southern-ring-isp-preparatory.txt</t>
        </is>
      </c>
      <c r="J83" s="4" t="inlineStr">
        <is>
          <t>9cf943c9725506c2061b473dfd5f137e9d9f3c39bfa107f56709d590d1d1e38a</t>
        </is>
      </c>
      <c r="K83" s="4" t="inlineStr">
        <is>
          <t>verified</t>
        </is>
      </c>
    </row>
    <row r="84">
      <c r="A84" s="4" t="inlineStr">
        <is>
          <t>SRS-TG-2026-PADR</t>
        </is>
      </c>
      <c r="B84" s="4" t="inlineStr">
        <is>
          <t>Sydney Ring South (Reinforcing Sydney, Newcastle and Wollongong Supply)</t>
        </is>
      </c>
      <c r="C84" s="4" t="inlineStr">
        <is>
          <t>Transgrid</t>
        </is>
      </c>
      <c r="D84" s="4" t="inlineStr">
        <is>
          <t>Sydney Ring South Project Assessment Draft Report</t>
        </is>
      </c>
      <c r="E84" s="4" t="inlineStr">
        <is>
          <t>2026</t>
        </is>
      </c>
      <c r="F84" s="4" t="inlineStr">
        <is>
          <t>project_assessment_draft_report</t>
        </is>
      </c>
      <c r="G84" s="7" t="inlineStr">
        <is>
          <t>https://www.transgrid.com.au/media/k5jlt3a3/sydney_ring_south_project_padr.pdf</t>
        </is>
      </c>
      <c r="H84" s="4" t="inlineStr">
        <is>
          <t>sources/sydney-ring-south/srs-transgrid-2026-padr.pdf</t>
        </is>
      </c>
      <c r="I84" s="4" t="inlineStr">
        <is>
          <t>sources/sydney-ring-south/srs-transgrid-2026-padr.txt</t>
        </is>
      </c>
      <c r="J84" s="4" t="inlineStr">
        <is>
          <t>517d1eb0e2c80ded447674209123f492706fa4a6f9b7ea90faa0ad3ad91943f6</t>
        </is>
      </c>
      <c r="K84" s="4" t="inlineStr">
        <is>
          <t>verified</t>
        </is>
      </c>
    </row>
    <row r="85">
      <c r="A85" s="4" t="inlineStr">
        <is>
          <t>SRS-TG-2026-PROJECTPAGE</t>
        </is>
      </c>
      <c r="B85" s="4" t="inlineStr">
        <is>
          <t>Sydney Ring South (Reinforcing Sydney, Newcastle and Wollongong Supply)</t>
        </is>
      </c>
      <c r="C85" s="4" t="inlineStr">
        <is>
          <t>Transgrid</t>
        </is>
      </c>
      <c r="D85" s="4" t="inlineStr">
        <is>
          <t>Sydney Ring South project page</t>
        </is>
      </c>
      <c r="E85" s="4" t="inlineStr">
        <is>
          <t>2026</t>
        </is>
      </c>
      <c r="F85" s="4" t="inlineStr">
        <is>
          <t>project_webpage</t>
        </is>
      </c>
      <c r="G85" s="7" t="inlineStr">
        <is>
          <t>https://www.transgrid.com.au/projects-innovation/sydney-ring-south/</t>
        </is>
      </c>
      <c r="H85" s="4" t="inlineStr">
        <is>
          <t>sources/sydney-ring-south/srs-tg-2026-projectpage.html</t>
        </is>
      </c>
      <c r="I85" s="4" t="inlineStr">
        <is>
          <t>sources/sydney-ring-south/srs-tg-2026-projectpage.txt</t>
        </is>
      </c>
      <c r="J85" s="4" t="inlineStr">
        <is>
          <t>8cfcc447d18066eced1ac4c05c6fcaf6a5a516b22122e1b9a9e818ec59816ea8</t>
        </is>
      </c>
      <c r="K85" s="4" t="inlineStr">
        <is>
          <t>verified</t>
        </is>
      </c>
    </row>
    <row r="86">
      <c r="A86" s="4" t="inlineStr">
        <is>
          <t>VNN-AER-2024-CPADETERMINATION</t>
        </is>
      </c>
      <c r="B86" s="4" t="inlineStr">
        <is>
          <t>VNI West (South West NSW REZ component)</t>
        </is>
      </c>
      <c r="C86" s="4" t="inlineStr">
        <is>
          <t>Australian Energy Regulator</t>
        </is>
      </c>
      <c r="D86" s="4" t="inlineStr">
        <is>
          <t>AER Determination: Transgrid VNI West Stage 1 Early Works Contingent Project</t>
        </is>
      </c>
      <c r="E86" s="4" t="inlineStr">
        <is>
          <t>2024-05</t>
        </is>
      </c>
      <c r="F86" s="4" t="inlineStr">
        <is>
          <t>determination</t>
        </is>
      </c>
      <c r="G86" s="7" t="inlineStr">
        <is>
          <t>https://www.aer.gov.au/system/files/2024-05/AER%20-%20Determination%20-%20Transgrid%20VNI%20West%20Stage%201%20Early%20Works%20Contingent%20Project%20-%20May%202024.pdf</t>
        </is>
      </c>
      <c r="H86" s="4" t="inlineStr">
        <is>
          <t>sources/vni-west-nsw/vnn-aer-2024-cpadetermination.pdf</t>
        </is>
      </c>
      <c r="I86" s="4" t="inlineStr">
        <is>
          <t>sources/vni-west-nsw/vnn-aer-2024-cpadetermination.txt</t>
        </is>
      </c>
      <c r="J86" s="4" t="inlineStr">
        <is>
          <t>c42227e30e2f904793c4fb570b870812a1e32ba12443ef1c7caa4c6f83fe4865</t>
        </is>
      </c>
      <c r="K86" s="4" t="inlineStr">
        <is>
          <t>verified</t>
        </is>
      </c>
    </row>
    <row r="87">
      <c r="A87" s="4" t="inlineStr">
        <is>
          <t>VNN-ENERGYCO-2026-SWREZ-TRANSMISSION</t>
        </is>
      </c>
      <c r="B87" s="4" t="inlineStr">
        <is>
          <t>VNI West (South West NSW REZ component)</t>
        </is>
      </c>
      <c r="C87" s="4" t="inlineStr">
        <is>
          <t>EnergyCo NSW</t>
        </is>
      </c>
      <c r="D87" s="4" t="inlineStr">
        <is>
          <t>South West REZ transmission and generation projects (incl. VNI West NSW)</t>
        </is>
      </c>
      <c r="E87" s="4" t="inlineStr">
        <is>
          <t>2026</t>
        </is>
      </c>
      <c r="F87" s="4" t="inlineStr">
        <is>
          <t>project_webpage</t>
        </is>
      </c>
      <c r="G87" s="7" t="inlineStr">
        <is>
          <t>https://www.energyco.nsw.gov.au/our-projects/south-west-rez/transmission-generation-projects</t>
        </is>
      </c>
      <c r="H87" s="4" t="inlineStr">
        <is>
          <t>sources/vni-west-nsw/vnn-energyco-2026-swrez-transmission.html</t>
        </is>
      </c>
      <c r="I87" s="4" t="inlineStr">
        <is>
          <t>sources/vni-west-nsw/vnn-energyco-2026-swrez-transmission.txt</t>
        </is>
      </c>
      <c r="J87" s="4" t="inlineStr">
        <is>
          <t>1e98b54767663de3ea4f0877f4645f5819596ebeec5967d2aa390686107bfd23</t>
        </is>
      </c>
      <c r="K87" s="4" t="inlineStr">
        <is>
          <t>verified</t>
        </is>
      </c>
    </row>
    <row r="88">
      <c r="A88" s="4" t="inlineStr">
        <is>
          <t>VNN-TG-2026-PROJECTPAGE</t>
        </is>
      </c>
      <c r="B88" s="4" t="inlineStr">
        <is>
          <t>VNI West (South West NSW REZ component)</t>
        </is>
      </c>
      <c r="C88" s="4" t="inlineStr">
        <is>
          <t>Transgrid</t>
        </is>
      </c>
      <c r="D88" s="4" t="inlineStr">
        <is>
          <t>VNI West project page</t>
        </is>
      </c>
      <c r="E88" s="4" t="inlineStr">
        <is>
          <t>2026</t>
        </is>
      </c>
      <c r="F88" s="4" t="inlineStr">
        <is>
          <t>project_webpage</t>
        </is>
      </c>
      <c r="G88" s="7" t="inlineStr">
        <is>
          <t>https://www.transgrid.com.au/projects-innovation/vni-west/</t>
        </is>
      </c>
      <c r="H88" s="4" t="inlineStr">
        <is>
          <t>sources/vni-west-nsw/vnn-tg-2026-projectpage.html</t>
        </is>
      </c>
      <c r="I88" s="4" t="inlineStr">
        <is>
          <t>sources/vni-west-nsw/vnn-tg-2026-projectpage.txt</t>
        </is>
      </c>
      <c r="J88" s="4" t="inlineStr">
        <is>
          <t>4115bf41d6897075aa3037b68acf52ddc9068c8eeac920e14cea0396c97327e5</t>
        </is>
      </c>
      <c r="K88" s="4" t="inlineStr">
        <is>
          <t>verified</t>
        </is>
      </c>
    </row>
    <row r="89">
      <c r="A89" s="4" t="inlineStr">
        <is>
          <t>VNV-TRANSGRID-2022-PADR</t>
        </is>
      </c>
      <c r="B89" s="4" t="inlineStr">
        <is>
          <t>VNI West (South West NSW REZ component); VNI West (Victoria)</t>
        </is>
      </c>
      <c r="C89" s="4" t="inlineStr">
        <is>
          <t>AEMO Victorian Planning / Transgrid</t>
        </is>
      </c>
      <c r="D89" s="4" t="inlineStr">
        <is>
          <t>VNI West RIT-T Project Assessment Draft Report</t>
        </is>
      </c>
      <c r="E89" s="4" t="inlineStr">
        <is>
          <t>2022-07</t>
        </is>
      </c>
      <c r="F89" s="4" t="inlineStr">
        <is>
          <t>project_assessment_draft_report</t>
        </is>
      </c>
      <c r="G89" s="7" t="inlineStr">
        <is>
          <t>https://www.transgrid.com.au/media/p1vdgjuu/vni-west-project-assessment-draft-report-1.pdf</t>
        </is>
      </c>
      <c r="H89" s="4" t="inlineStr">
        <is>
          <t>sources/vni-west-victoria/vnv-transgrid-2022-padr.pdf</t>
        </is>
      </c>
      <c r="I89" s="4" t="inlineStr">
        <is>
          <t>sources/vni-west-victoria/vnv-transgrid-2022-padr.txt</t>
        </is>
      </c>
      <c r="J89" s="4" t="inlineStr">
        <is>
          <t>93f1470468bad4797d4e0e74b5439145cbcba43e529224568739def4fc297ca7</t>
        </is>
      </c>
      <c r="K89" s="4" t="inlineStr">
        <is>
          <t>verified</t>
        </is>
      </c>
    </row>
    <row r="90">
      <c r="A90" s="4" t="inlineStr">
        <is>
          <t>VNV-TRANSGRID-2023-PACR</t>
        </is>
      </c>
      <c r="B90" s="4" t="inlineStr">
        <is>
          <t>VNI West (South West NSW REZ component); VNI West (Victoria); Western Renewables Link</t>
        </is>
      </c>
      <c r="C90" s="4" t="inlineStr">
        <is>
          <t>AEMO Victorian Planning / Transgrid</t>
        </is>
      </c>
      <c r="D90" s="4" t="inlineStr">
        <is>
          <t>VNI West RIT-T Project Assessment Conclusions Report Volume 1</t>
        </is>
      </c>
      <c r="E90" s="4" t="inlineStr">
        <is>
          <t>2023-05</t>
        </is>
      </c>
      <c r="F90" s="4" t="inlineStr">
        <is>
          <t>project_assessment_conclusions_report</t>
        </is>
      </c>
      <c r="G90" s="7" t="inlineStr">
        <is>
          <t>https://www.transgrid.com.au/media/buedxwfj/vni-west-pacr-volume-1.pdf</t>
        </is>
      </c>
      <c r="H90" s="4" t="inlineStr">
        <is>
          <t>sources/vni-west-victoria/vnv-transgrid-2023-pacr.pdf</t>
        </is>
      </c>
      <c r="I90" s="4" t="inlineStr">
        <is>
          <t>sources/vni-west-victoria/vnv-transgrid-2023-pacr.txt</t>
        </is>
      </c>
      <c r="J90" s="4" t="inlineStr">
        <is>
          <t>73d5ee909a76135417b3798fafa5796f72820f5734e65c6de94794b1a45cea3d</t>
        </is>
      </c>
      <c r="K90" s="4" t="inlineStr">
        <is>
          <t>verified</t>
        </is>
      </c>
    </row>
    <row r="91">
      <c r="A91" s="4" t="inlineStr">
        <is>
          <t>VNV-VIC-GAZETTE-2023-S060</t>
        </is>
      </c>
      <c r="B91" s="4" t="inlineStr">
        <is>
          <t>VNI West (Victoria)</t>
        </is>
      </c>
      <c r="C91" s="4" t="inlineStr">
        <is>
          <t>Victorian Government Gazette</t>
        </is>
      </c>
      <c r="D91" s="4" t="inlineStr">
        <is>
          <t>VNI West and WRL Ministerial Order (Electricity (Victoria) Act 2005 s16Y), Special Gazette S60</t>
        </is>
      </c>
      <c r="E91" s="4" t="inlineStr">
        <is>
          <t>2023-02</t>
        </is>
      </c>
      <c r="F91" s="4" t="inlineStr">
        <is>
          <t>ministerial_order</t>
        </is>
      </c>
      <c r="G91" s="7" t="inlineStr">
        <is>
          <t>https://www.gazette.vic.gov.au/gazette/Gazettes2023/GG2023S060.pdf</t>
        </is>
      </c>
      <c r="H91" s="4" t="inlineStr">
        <is>
          <t>sources/vni-west-victoria/vnv-vic-gazette-2023-s060.pdf</t>
        </is>
      </c>
      <c r="I91" s="4" t="inlineStr">
        <is>
          <t>sources/vni-west-victoria/vnv-vic-gazette-2023-s060.txt</t>
        </is>
      </c>
      <c r="J91" s="4" t="inlineStr">
        <is>
          <t>3c95c5ff69d33b48155e1d4d6f1508d3c1dda7a297260c2ddf116bcae0b85165</t>
        </is>
      </c>
      <c r="K91" s="4" t="inlineStr">
        <is>
          <t>verified</t>
        </is>
      </c>
    </row>
    <row r="92">
      <c r="A92" s="4" t="inlineStr">
        <is>
          <t>VNV-VIC-GAZETTE-2023-S267</t>
        </is>
      </c>
      <c r="B92" s="4" t="inlineStr">
        <is>
          <t>VNI West (Victoria); Western Renewables Link</t>
        </is>
      </c>
      <c r="C92" s="4" t="inlineStr">
        <is>
          <t>Victorian Government Gazette</t>
        </is>
      </c>
      <c r="D92" s="4" t="inlineStr">
        <is>
          <t>VNI West and WRL Ministerial Order (Electricity (Victoria) Act 2005 s16Y), Special Gazette S267</t>
        </is>
      </c>
      <c r="E92" s="4" t="inlineStr">
        <is>
          <t>2023</t>
        </is>
      </c>
      <c r="F92" s="4" t="inlineStr">
        <is>
          <t>ministerial_order</t>
        </is>
      </c>
      <c r="G92" s="7" t="inlineStr">
        <is>
          <t>https://www.gazette.vic.gov.au/gazette/Gazettes2023/GG2023S267.pdf</t>
        </is>
      </c>
      <c r="H92" s="4" t="inlineStr">
        <is>
          <t>sources/vni-west-victoria/vnv-vic-gazette-2023-s267-vni-west-wrl-ministerial-order.pdf</t>
        </is>
      </c>
      <c r="I92" s="4" t="inlineStr">
        <is>
          <t>sources/vni-west-victoria/vnv-vic-gazette-2023-s267-vni-west-wrl-ministerial-order.txt</t>
        </is>
      </c>
      <c r="J92" s="4" t="inlineStr">
        <is>
          <t>50fee6d5bc5ee8e22151052fc6abb68740fa8f50036b3f14b03cfa84e21ac98a</t>
        </is>
      </c>
      <c r="K92" s="4" t="inlineStr">
        <is>
          <t>verified</t>
        </is>
      </c>
    </row>
    <row r="93">
      <c r="A93" s="4" t="inlineStr">
        <is>
          <t>VNV-VIC-GAZETTE-2024-S605</t>
        </is>
      </c>
      <c r="B93" s="4" t="inlineStr">
        <is>
          <t>VNI West (Victoria)</t>
        </is>
      </c>
      <c r="C93" s="4" t="inlineStr">
        <is>
          <t>Victorian Government Gazette</t>
        </is>
      </c>
      <c r="D93" s="4" t="inlineStr">
        <is>
          <t>CEO VicGrid to Assist AEMO (VNI West) Ministerial Order, Special Gazette S605 (amends s16Y Orders)</t>
        </is>
      </c>
      <c r="E93" s="4" t="inlineStr">
        <is>
          <t>2024-11</t>
        </is>
      </c>
      <c r="F93" s="4" t="inlineStr">
        <is>
          <t>ministerial_order_amendment</t>
        </is>
      </c>
      <c r="G93" s="7" t="inlineStr">
        <is>
          <t>https://www.gazette.vic.gov.au/gazette/Gazettes2024/GG2024S605.pdf</t>
        </is>
      </c>
      <c r="H93" s="4" t="inlineStr">
        <is>
          <t>sources/vni-west-victoria/vnv-vic-gazette-2024-s605.pdf</t>
        </is>
      </c>
      <c r="I93" s="4" t="inlineStr">
        <is>
          <t>sources/vni-west-victoria/vnv-vic-gazette-2024-s605.txt</t>
        </is>
      </c>
      <c r="J93" s="4" t="inlineStr">
        <is>
          <t>2779d1540db0de41a110e6a25ef75d1bdffe84bd5b4dde6009d5a73ac92d10ce</t>
        </is>
      </c>
      <c r="K93" s="4" t="inlineStr">
        <is>
          <t>verified</t>
        </is>
      </c>
    </row>
    <row r="94">
      <c r="A94" s="4" t="inlineStr">
        <is>
          <t>VNV-VIC-GAZETTE-2025-S590</t>
        </is>
      </c>
      <c r="B94" s="4" t="inlineStr">
        <is>
          <t>VNI West (Victoria)</t>
        </is>
      </c>
      <c r="C94" s="4" t="inlineStr">
        <is>
          <t>Victorian Government Gazette</t>
        </is>
      </c>
      <c r="D94" s="4" t="inlineStr">
        <is>
          <t>VicGrid Ministerial Order Amendment, Special Gazette S590 (substitutes 'VicGrid' for 'CEO VicGrid to assist AEMO', commences 1 November 2025)</t>
        </is>
      </c>
      <c r="E94" s="4" t="inlineStr">
        <is>
          <t>2025-10</t>
        </is>
      </c>
      <c r="F94" s="4" t="inlineStr">
        <is>
          <t>ministerial_order_amendment</t>
        </is>
      </c>
      <c r="G94" s="7" t="inlineStr">
        <is>
          <t>https://www.gazette.vic.gov.au/gazette/Gazettes2025/GG2025S590.pdf</t>
        </is>
      </c>
      <c r="H94" s="4" t="inlineStr">
        <is>
          <t>sources/vni-west-victoria/vnv-vic-gazette-2025-s590.pdf</t>
        </is>
      </c>
      <c r="I94" s="4" t="inlineStr">
        <is>
          <t>sources/vni-west-victoria/vnv-vic-gazette-2025-s590.txt</t>
        </is>
      </c>
      <c r="J94" s="4" t="inlineStr">
        <is>
          <t>2255f91235e8f10a3bde52044f920fa1b52ed324b124b3ed024f8d948efc379b</t>
        </is>
      </c>
      <c r="K94" s="4" t="inlineStr">
        <is>
          <t>verified</t>
        </is>
      </c>
    </row>
    <row r="95">
      <c r="A95" s="4" t="inlineStr">
        <is>
          <t>VNV-VNIW-2026-OVERVIEW</t>
        </is>
      </c>
      <c r="B95" s="4" t="inlineStr">
        <is>
          <t>VNI West (Victoria)</t>
        </is>
      </c>
      <c r="C95" s="4" t="inlineStr">
        <is>
          <t>VNI West project (Transgrid/AVP)</t>
        </is>
      </c>
      <c r="D95" s="4" t="inlineStr">
        <is>
          <t>VNI West project overview web page</t>
        </is>
      </c>
      <c r="E95" s="4" t="inlineStr">
        <is>
          <t>2026-09-04</t>
        </is>
      </c>
      <c r="F95" s="4" t="inlineStr">
        <is>
          <t>project_webpage</t>
        </is>
      </c>
      <c r="G95" s="7" t="inlineStr">
        <is>
          <t>https://vniwproject.com.au/about-vni-west/project-overview</t>
        </is>
      </c>
      <c r="H95" s="4" t="inlineStr">
        <is>
          <t>sources/vni-west-victoria/vnv-vniwproject-2026-project-overview.html</t>
        </is>
      </c>
      <c r="I95" s="4" t="inlineStr">
        <is>
          <t>sources/vni-west-victoria/vnv-vniwproject-2026-project-overview.txt</t>
        </is>
      </c>
      <c r="J95" s="4" t="inlineStr">
        <is>
          <t>04077a3a44815c3a18a70408b85f47b561b62c788bd5da16fbeef8724f804182</t>
        </is>
      </c>
      <c r="K95" s="4" t="inlineStr">
        <is>
          <t>verified</t>
        </is>
      </c>
    </row>
    <row r="96">
      <c r="A96" s="4" t="inlineStr">
        <is>
          <t>WRL-AUSNET-2025-CONTRACTOR</t>
        </is>
      </c>
      <c r="B96" s="4" t="inlineStr">
        <is>
          <t>Western Renewables Link</t>
        </is>
      </c>
      <c r="C96" s="4" t="inlineStr">
        <is>
          <t>AusNet</t>
        </is>
      </c>
      <c r="D96" s="4" t="inlineStr">
        <is>
          <t>Western Renewables Link construction contractor appointed</t>
        </is>
      </c>
      <c r="E96" s="4" t="inlineStr">
        <is>
          <t>2025-12</t>
        </is>
      </c>
      <c r="F96" s="4" t="inlineStr">
        <is>
          <t>media_release</t>
        </is>
      </c>
      <c r="G96" s="7" t="inlineStr">
        <is>
          <t>https://www.ausnetservices.com.au/news/western-renewables-link-construction-contractor-appointed</t>
        </is>
      </c>
      <c r="H96" s="4" t="inlineStr">
        <is>
          <t>sources/western-renewables-link/wrl-ausnet-2025-contractor.html</t>
        </is>
      </c>
      <c r="I96" s="4" t="inlineStr">
        <is>
          <t>sources/western-renewables-link/wrl-ausnet-2025-contractor.txt</t>
        </is>
      </c>
      <c r="J96" s="4" t="inlineStr">
        <is>
          <t>3cdbed555d2cc60caceb3131521eb4d1e03151421d506e1cfaf2c057a9b902e1</t>
        </is>
      </c>
      <c r="K96" s="4" t="inlineStr">
        <is>
          <t>verified</t>
        </is>
      </c>
    </row>
    <row r="97">
      <c r="A97" s="4" t="inlineStr">
        <is>
          <t>WRL-AUSNET-PROJECT</t>
        </is>
      </c>
      <c r="B97" s="4" t="inlineStr">
        <is>
          <t>Western Renewables Link</t>
        </is>
      </c>
      <c r="C97" s="4" t="inlineStr">
        <is>
          <t>AusNet</t>
        </is>
      </c>
      <c r="D97" s="4" t="inlineStr">
        <is>
          <t>Western Renewables Link project webpage</t>
        </is>
      </c>
      <c r="E97" s="4" t="inlineStr"/>
      <c r="F97" s="4" t="inlineStr">
        <is>
          <t>project webpage</t>
        </is>
      </c>
      <c r="G97" s="7" t="inlineStr">
        <is>
          <t>https://www.westernrenewableslink.com.au/</t>
        </is>
      </c>
      <c r="H97" s="4" t="inlineStr">
        <is>
          <t>sources/western-renewables-link/originals/ausnet-wrl-project.html</t>
        </is>
      </c>
      <c r="I97" s="4" t="inlineStr">
        <is>
          <t>sources/western-renewables-link/text/ausnet-wrl-project.txt</t>
        </is>
      </c>
      <c r="J97" s="4" t="inlineStr">
        <is>
          <t>53f5548f37063ec5cd8b495b3db840717b3fd33ac34b6933e3c08e7a6e6c07a4</t>
        </is>
      </c>
      <c r="K97" s="4" t="inlineStr">
        <is>
          <t>verified</t>
        </is>
      </c>
    </row>
  </sheetData>
  <mergeCells count="2">
    <mergeCell ref="A2:K2"/>
    <mergeCell ref="A1:K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s>
  <pageMargins left="0.75" right="0.75" top="1" bottom="1" header="0.5" footer="0.5"/>
  <tableParts count="1">
    <tablePart xmlns:r="http://schemas.openxmlformats.org/officeDocument/2006/relationships" r:id="rId94"/>
  </tableParts>
</worksheet>
</file>

<file path=xl/worksheets/sheet8.xml><?xml version="1.0" encoding="utf-8"?>
<worksheet xmlns="http://schemas.openxmlformats.org/spreadsheetml/2006/main">
  <sheetPr>
    <outlinePr summaryBelow="1" summaryRight="1"/>
    <pageSetUpPr/>
  </sheetPr>
  <dimension ref="A1:G154"/>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8" customWidth="1" min="3" max="3"/>
    <col width="78" customWidth="1" min="4" max="4"/>
    <col width="78" customWidth="1" min="5" max="5"/>
    <col width="40" customWidth="1" min="6" max="6"/>
    <col width="46" customWidth="1" min="7" max="7"/>
  </cols>
  <sheetData>
    <row r="1" ht="38" customHeight="1">
      <c r="A1" s="1" t="inlineStr">
        <is>
          <t>Warnings and gaps</t>
        </is>
      </c>
    </row>
    <row r="2" ht="26" customHeight="1">
      <c r="A2" s="2" t="inlineStr">
        <is>
          <t>These findings constrain publication; they are part of the analytical result, not a cleanup list.</t>
        </is>
      </c>
    </row>
    <row r="4" ht="30" customHeight="1">
      <c r="A4" s="3" t="inlineStr">
        <is>
          <t>Family</t>
        </is>
      </c>
      <c r="B4" s="3" t="inlineStr">
        <is>
          <t>Severity</t>
        </is>
      </c>
      <c r="C4" s="3" t="inlineStr">
        <is>
          <t>Code</t>
        </is>
      </c>
      <c r="D4" s="3" t="inlineStr">
        <is>
          <t>Finding</t>
        </is>
      </c>
      <c r="E4" s="3" t="inlineStr">
        <is>
          <t>Implication</t>
        </is>
      </c>
      <c r="F4" s="3" t="inlineStr">
        <is>
          <t>Source IDs</t>
        </is>
      </c>
      <c r="G4" s="3" t="inlineStr">
        <is>
          <t>Pinpoints</t>
        </is>
      </c>
    </row>
    <row r="5">
      <c r="A5" s="6" t="inlineStr">
        <is>
          <t>Central-West Orana Renewable Energy Zone</t>
        </is>
      </c>
      <c r="B5" s="6" t="inlineStr">
        <is>
          <t>blocker</t>
        </is>
      </c>
      <c r="C5" s="6" t="inlineStr">
        <is>
          <t>NON_ADDITIVE_BOUNDARIES</t>
        </is>
      </c>
      <c r="D5" s="6" t="inlineStr">
        <is>
          <t>The chart's $6.787 billion is the sum of $5,526.1m (Main, nominal NER-equivalent, consumer-funded, excluding H2P/CSS and construction finance), $406.0m (Enabling, real 2025-26 capex) and $855m (Expansion, dollar year not stated, Class 5b, not yet authorised or determined).</t>
        </is>
      </c>
      <c r="E5" s="6" t="inlineStr">
        <is>
          <t>The three amounts have different price bases, payer boundaries, maturities and delivery dates, and the total still omits generator-funded H2P and CSS, construction finance and the $186.8m Barigan Creek acquisition. Publish the three observations side by side rather than one total, or label the total as an arithmetic aggregate that is not a scope-complete cost.</t>
        </is>
      </c>
      <c r="F5" s="6" t="inlineStr">
        <is>
          <t>CWO-18; CWO-21; CWO-22</t>
        </is>
      </c>
      <c r="G5" s="6" t="inlineStr">
        <is>
          <t>CWO-18 PDF p38; CWO-21 PDF pp7, 50; CWO-22 PDF p57</t>
        </is>
      </c>
    </row>
    <row r="6">
      <c r="A6" s="5" t="inlineStr">
        <is>
          <t>Central-West Orana Renewable Energy Zone</t>
        </is>
      </c>
      <c r="B6" s="5" t="inlineStr">
        <is>
          <t>warning</t>
        </is>
      </c>
      <c r="C6" s="5" t="inlineStr">
        <is>
          <t>NON_COMPARABLE_SERIES</t>
        </is>
      </c>
      <c r="D6" s="5" t="inlineStr">
        <is>
          <t>The 2020 ($650m modelled), 2023 ($3.2b real 2021), 2024 (~$5.45b nominal Feb 2024), 2025 ($5,526.1m nominal Main only) and 2026 ($855m Expansion) amounts differ in scope, corridor, price basis, payer and maturity.</t>
        </is>
      </c>
      <c r="E6" s="5" t="inlineStr">
        <is>
          <t>Do not compute an earliest-to-latest percentage or describe the movement as a cost overrun. EnergyCo states expressly that the 2020 estimate is out of date because of an added double circuit, a corridor move and an enlarged project.</t>
        </is>
      </c>
      <c r="F6" s="5" t="inlineStr">
        <is>
          <t>CWO-01; CWO-04; CWO-09; CWO-18; CWO-22</t>
        </is>
      </c>
      <c r="G6" s="5" t="inlineStr">
        <is>
          <t>CWO-01 PDF pp14, 31; CWO-04 PDF pp31-32; CWO-09 PDF pp11-12; CWO-18 PDF p38; CWO-22 PDF p57</t>
        </is>
      </c>
    </row>
    <row r="7">
      <c r="A7" s="5" t="inlineStr">
        <is>
          <t>Central-West Orana Renewable Energy Zone</t>
        </is>
      </c>
      <c r="B7" s="5" t="inlineStr">
        <is>
          <t>warning</t>
        </is>
      </c>
      <c r="C7" s="5" t="inlineStr">
        <is>
          <t>CONTRADICTION</t>
        </is>
      </c>
      <c r="D7" s="5" t="inlineStr">
        <is>
          <t>The 2023 strategy states that its estimates are development and construction costs only, excluding finance, generator connection and system strength costs, while the Appendix B option table records system strength remediation for the same options as 'Included as part of network build'.</t>
        </is>
      </c>
      <c r="E7" s="5" t="inlineStr">
        <is>
          <t>Both assertions are retained unresolved. Do not treat the $3,186m/$3.2b figure as either including or excluding system strength without the author choosing and recording a reading.</t>
        </is>
      </c>
      <c r="F7" s="5" t="inlineStr">
        <is>
          <t>CWO-04; CWO-05</t>
        </is>
      </c>
      <c r="G7" s="5" t="inlineStr">
        <is>
          <t>CWO-04 PDF pp24, 31; CWO-05 PDF pp3-5</t>
        </is>
      </c>
    </row>
    <row r="8">
      <c r="A8" s="5" t="inlineStr">
        <is>
          <t>Central-West Orana Renewable Energy Zone</t>
        </is>
      </c>
      <c r="B8" s="5" t="inlineStr">
        <is>
          <t>warning</t>
        </is>
      </c>
      <c r="C8" s="5" t="inlineStr">
        <is>
          <t>CONTRADICTION</t>
        </is>
      </c>
      <c r="D8" s="5" t="inlineStr">
        <is>
          <t>The ASL transfer letter is dated 27 October 2025 but states the Board approved the Barigan Creek transfer on 15 October 2024; the AER states that in October 2025 ASL approved the transfer.</t>
        </is>
      </c>
      <c r="E8" s="5" t="inlineStr">
        <is>
          <t>Do not silently correct either date. Any Barigan Creek timeline must carry both the letter date and the two conflicting approval dates.</t>
        </is>
      </c>
      <c r="F8" s="5" t="inlineStr">
        <is>
          <t>CWO-19; CWO-21</t>
        </is>
      </c>
      <c r="G8" s="5" t="inlineStr">
        <is>
          <t>CWO-19 PDF p1; CWO-21 PDF p7</t>
        </is>
      </c>
    </row>
    <row r="9">
      <c r="A9" s="5" t="inlineStr">
        <is>
          <t>Central-West Orana Renewable Energy Zone</t>
        </is>
      </c>
      <c r="B9" s="5" t="inlineStr">
        <is>
          <t>warning</t>
        </is>
      </c>
      <c r="C9" s="5" t="inlineStr">
        <is>
          <t>CONTRADICTION</t>
        </is>
      </c>
      <c r="D9" s="5" t="inlineStr">
        <is>
          <t>Within the 2026 ISP Appendix A5, the committed-project section states EnergyCo have awarded 7.15 GW of access rights with 7.7 GW as the current aggregate maximum capacity, while the Expansion section states EnergyCo has awarded 7.7 GW.</t>
        </is>
      </c>
      <c r="E9" s="5" t="inlineStr">
        <is>
          <t>Both figures are retained as separate observations. Awarded access rights must not be reported as a single settled number, nor conflated with the 7.7 GW aggregate cap or the 4.5 GW transfer capacity.</t>
        </is>
      </c>
      <c r="F9" s="5" t="inlineStr">
        <is>
          <t>CWO-22; CWO-17</t>
        </is>
      </c>
      <c r="G9" s="5" t="inlineStr">
        <is>
          <t>CWO-22 PDF pp22, 56; CWO-17 PDF p4</t>
        </is>
      </c>
    </row>
    <row r="10">
      <c r="A10" s="5" t="inlineStr">
        <is>
          <t>Central-West Orana Renewable Energy Zone</t>
        </is>
      </c>
      <c r="B10" s="5" t="inlineStr">
        <is>
          <t>warning</t>
        </is>
      </c>
      <c r="C10" s="5" t="inlineStr">
        <is>
          <t>PRICE_BASIS_UNKNOWN</t>
        </is>
      </c>
      <c r="D10" s="5" t="inlineStr">
        <is>
          <t>Three cost observations carry no stated dollar year: the 2020 ISP range and modelled cost ($450m/$650m/$850m), the 2026 Expansion reported cost ($855m) and the Barigan Creek purchase price ($186.8m).</t>
        </is>
      </c>
      <c r="E10" s="5" t="inlineStr">
        <is>
          <t>Do not impute a price basis from neighbouring sources or escalate these values. They cannot be normalised against the nominal Main figure or the real 2025-26 Enabling figure.</t>
        </is>
      </c>
      <c r="F10" s="5" t="inlineStr">
        <is>
          <t>CWO-01; CWO-21; CWO-22</t>
        </is>
      </c>
      <c r="G10" s="5" t="inlineStr">
        <is>
          <t>CWO-01 PDF pp14, 31; CWO-21 PDF p7; CWO-22 PDF p57</t>
        </is>
      </c>
    </row>
    <row r="11">
      <c r="A11" s="5" t="inlineStr">
        <is>
          <t>Central-West Orana Renewable Energy Zone</t>
        </is>
      </c>
      <c r="B11" s="5" t="inlineStr">
        <is>
          <t>warning</t>
        </is>
      </c>
      <c r="C11" s="5" t="inlineStr">
        <is>
          <t>SHARED_ATTRIBUTION</t>
        </is>
      </c>
      <c r="D11" s="5" t="inlineStr">
        <is>
          <t>Hub-to-project and centralised system strength assets sit inside the Main project's physical scope but are funded by access right holders through per-connection access fees; the consumer-funded amounts ($5.45b in 2024 and $5,526.1m in 2025) exclude them, and project-specific H2P capex inputs are redacted.</t>
        </is>
      </c>
      <c r="E11" s="5" t="inlineStr">
        <is>
          <t>Access fee receipts must not be added to, or substituted for, capital cost. The published Main total is not the project's total economic cost.</t>
        </is>
      </c>
      <c r="F11" s="5" t="inlineStr">
        <is>
          <t>CWO-09; CWO-13; CWO-14; CWO-18</t>
        </is>
      </c>
      <c r="G11" s="5" t="inlineStr">
        <is>
          <t>CWO-09 PDF pp11-12; CWO-13 PDF pp7-8; CWO-14 PDF p5; CWO-18 PDF p38</t>
        </is>
      </c>
    </row>
    <row r="12">
      <c r="A12" s="5" t="inlineStr">
        <is>
          <t>Central-West Orana Renewable Energy Zone</t>
        </is>
      </c>
      <c r="B12" s="5" t="inlineStr">
        <is>
          <t>warning</t>
        </is>
      </c>
      <c r="C12" s="5" t="inlineStr">
        <is>
          <t>SCOPE_TRANSFER</t>
        </is>
      </c>
      <c r="D12" s="5" t="inlineStr">
        <is>
          <t>The Barigan Creek Switching Station is authorised and built within the Main project, then transfers to Transgrid under the Enabling authorisation; its removal is inside the netted $173.2m Main reduction, its $186.8m purchase price is in neither current determination, and its incremental expenditure is deferred to a future Enabling determination.</t>
        </is>
      </c>
      <c r="E12" s="5" t="inlineStr">
        <is>
          <t>Count Barigan Creek once and only against a stated as-of version. Do not add $186.8m to either the $5,526.1m or the $406.0m figure without saying which version is being described.</t>
        </is>
      </c>
      <c r="F12" s="5" t="inlineStr">
        <is>
          <t>CWO-18; CWO-19; CWO-21</t>
        </is>
      </c>
      <c r="G12" s="5" t="inlineStr">
        <is>
          <t>CWO-18 PDF p38; CWO-19 PDF p1; CWO-21 PDF pp7, 10</t>
        </is>
      </c>
    </row>
    <row r="13">
      <c r="A13" s="5" t="inlineStr">
        <is>
          <t>Central-West Orana Renewable Energy Zone</t>
        </is>
      </c>
      <c r="B13" s="5" t="inlineStr">
        <is>
          <t>warning</t>
        </is>
      </c>
      <c r="C13" s="5" t="inlineStr">
        <is>
          <t>OUTTURN_UNKNOWN</t>
        </is>
      </c>
      <c r="D13" s="5" t="inlineStr">
        <is>
          <t>No construction outturn exists for any component. The Main determination contains 29 adjustment mechanisms and must be remade every five years, the Enabling determination covers 2026-31 only, and the Expansion has no authorisation or determination at all.</t>
        </is>
      </c>
      <c r="E13" s="5" t="inlineStr">
        <is>
          <t>'Committed' is not 'cost fixed'. Every figure in this pack is an estimate, proposal or determination, and each future adjustment needs its own dated observation.</t>
        </is>
      </c>
      <c r="F13" s="5" t="inlineStr">
        <is>
          <t>CWO-18; CWO-21; CWO-22</t>
        </is>
      </c>
      <c r="G13" s="5" t="inlineStr">
        <is>
          <t>CWO-18 PDF pp10, 44; CWO-21 PDF pp7, 50; CWO-22 PDF pp56-57</t>
        </is>
      </c>
    </row>
    <row r="14">
      <c r="A14" s="5" t="inlineStr">
        <is>
          <t>Central-West Orana Renewable Energy Zone</t>
        </is>
      </c>
      <c r="B14" s="5" t="inlineStr">
        <is>
          <t>warning</t>
        </is>
      </c>
      <c r="C14" s="5" t="inlineStr">
        <is>
          <t>CHART_DERIVATION</t>
        </is>
      </c>
      <c r="D14" s="5" t="inlineStr">
        <is>
          <t>Three chart cells are author calculations rather than sourced values: circuits 4 (two double circuit lines), transformers 15,000 MVA ((4+3+3) units x 1,500 MVA across the committed Merotherie substation and the Expansion's Merotherie-B and Elong Elong substations) and millions per trunk km 75.41 ($6,787.1m / 90 km).</t>
        </is>
      </c>
      <c r="E14" s="5" t="inlineStr">
        <is>
          <t>Label these as derived in any published view. The transformer total mixes committed and future scope, and the ratio divides a three-project cost by a Main-core-only corridor length.</t>
        </is>
      </c>
      <c r="F14" s="5" t="inlineStr">
        <is>
          <t>CWO-18; CWO-22</t>
        </is>
      </c>
      <c r="G14" s="5" t="inlineStr">
        <is>
          <t>CWO-18 PDF p11; CWO-22 PDF pp23, 57</t>
        </is>
      </c>
    </row>
    <row r="15">
      <c r="A15" s="5" t="inlineStr">
        <is>
          <t>Central-West Orana Renewable Energy Zone</t>
        </is>
      </c>
      <c r="B15" s="5" t="inlineStr">
        <is>
          <t>warning</t>
        </is>
      </c>
      <c r="C15" s="5" t="inlineStr">
        <is>
          <t>CONTRADICTION</t>
        </is>
      </c>
      <c r="D15" s="5" t="inlineStr">
        <is>
          <t>The AER states the hub to project 330 kV network covers a corridor of around 150 km, and ACEREZ's own project page corroborates 150 km of 330kV transmission lines for generator connections, while the ASL statement of reasons for the Main authorisation states the 330 kV H2P network from the Energy Hubs to 13 switching stations comprises a total of approximately 166 kilometres of transmission lines.</t>
        </is>
      </c>
      <c r="E15" s="5" t="inlineStr">
        <is>
          <t>All three figures are retained unresolved (two sources at 150 km, one at 166 km). Do not silently prefer either value for the H2P/feeder length; the chart's feeder_lines_km finding is recorded as contradicted rather than supported.</t>
        </is>
      </c>
      <c r="F15" s="5" t="inlineStr">
        <is>
          <t>CWO-18; CWO-23; CWO-26</t>
        </is>
      </c>
      <c r="G15" s="5" t="inlineStr">
        <is>
          <t>CWO-18 PDF p11; CWO-23 PDF p10; CWO-26 web</t>
        </is>
      </c>
    </row>
    <row r="16">
      <c r="A16" s="5" t="inlineStr">
        <is>
          <t>Central-West Orana Renewable Energy Zone</t>
        </is>
      </c>
      <c r="B16" s="5" t="inlineStr">
        <is>
          <t>warning</t>
        </is>
      </c>
      <c r="C16" s="5" t="inlineStr">
        <is>
          <t>CONTRADICTION</t>
        </is>
      </c>
      <c r="D16" s="5" t="inlineStr">
        <is>
          <t>The AER records seven 250 MVA synchronous condenser units for the Main project's system strength infrastructure, while Transgrid's system strength PACR states that ACEREZ and EnergyCo advised it that seven 240 MVA-rated synchronous condensers are planned to remediate the first 5.84 GW of IBR in the CWO REZ (7x250=1,750 MVA vs 7x240=1,680 MVA).</t>
        </is>
      </c>
      <c r="E16" s="5" t="inlineStr">
        <is>
          <t>Both unit ratings are retained unresolved. Both remain within the authorisation's 'up to 1,750 MVA' nameplate ceiling (CWO-10), but the actual installed total for Stage 1 is not settled; do not treat 1,750 MVA as the confirmed installed total without noting the PACR's lower figure.</t>
        </is>
      </c>
      <c r="F16" s="5" t="inlineStr">
        <is>
          <t>CWO-18; CWO-24; CWO-10</t>
        </is>
      </c>
      <c r="G16" s="5" t="inlineStr">
        <is>
          <t>CWO-18 PDF p15; CWO-24 PDF p31; CWO-10 PDF p2</t>
        </is>
      </c>
    </row>
    <row r="17">
      <c r="A17" s="5" t="inlineStr">
        <is>
          <t>Central-West Orana Renewable Energy Zone</t>
        </is>
      </c>
      <c r="B17" s="5" t="inlineStr">
        <is>
          <t>warning</t>
        </is>
      </c>
      <c r="C17" s="5" t="inlineStr">
        <is>
          <t>SOURCE_UNAVAILABLE</t>
        </is>
      </c>
      <c r="D17" s="5" t="inlineStr">
        <is>
          <t>Three archived captures cannot supply verifiable excerpts for their operative wording: CWO-16 (transfer capacity determination) has an empty text derivative; CWO-20 (Bannaby amendment) has no extractable body text on PDF pages 2-7; and CWO-06 renders the amended capacity figure as 'J§ gigawatts'.</t>
        </is>
      </c>
      <c r="E17" s="5" t="inlineStr">
        <is>
          <t>No observation in this pack cites these three captures for a value. The 4.5 GW transfer capacity and the 6 GW declared capacity are cited from documents that recite them, and the Bannaby amendment is carried as a component and timeline entry only.</t>
        </is>
      </c>
      <c r="F17" s="5" t="inlineStr">
        <is>
          <t>CWO-06; CWO-16; CWO-20</t>
        </is>
      </c>
      <c r="G17" s="5" t="inlineStr">
        <is>
          <t>CWO-06 PDF p4; CWO-16 (derivative empty); CWO-20 PDF pp2-7</t>
        </is>
      </c>
    </row>
    <row r="18">
      <c r="A18" s="5" t="inlineStr">
        <is>
          <t>Central-West Orana Renewable Energy Zone</t>
        </is>
      </c>
      <c r="B18" s="5" t="inlineStr">
        <is>
          <t>warning</t>
        </is>
      </c>
      <c r="C18" s="5" t="inlineStr">
        <is>
          <t>AUTHOR_DECISION_REQUIRED</t>
        </is>
      </c>
      <c r="D18" s="5" t="inlineStr">
        <is>
          <t>The chart's date cell reads 2029. No archived source states 2029: AEMO gives December 2028 for the committed project, the AER gives staged infrastructure completion between April 2028 and April 2030 with generation from December 2028 to September 2030, and the Expansion whose cost is in the same row is timed March 2033.</t>
        </is>
      </c>
      <c r="E18" s="5" t="inlineStr">
        <is>
          <t>The author must choose which milestone the date column represents and whether one date can stand for a row that aggregates three projects.</t>
        </is>
      </c>
      <c r="F18" s="5" t="inlineStr">
        <is>
          <t>CWO-18; CWO-22</t>
        </is>
      </c>
      <c r="G18" s="5" t="inlineStr">
        <is>
          <t>CWO-18 PDF p12; CWO-22 PDF pp23, 57</t>
        </is>
      </c>
    </row>
    <row r="19">
      <c r="A19" s="5" t="inlineStr">
        <is>
          <t>Central-West Orana Renewable Energy Zone</t>
        </is>
      </c>
      <c r="B19" s="5" t="inlineStr">
        <is>
          <t>warning</t>
        </is>
      </c>
      <c r="C19" s="5" t="inlineStr">
        <is>
          <t>AUTHOR_DECISION_REQUIRED</t>
        </is>
      </c>
      <c r="D19" s="5" t="inlineStr">
        <is>
          <t>The chart's hubs cell reads 3, counting Merotherie-A, Merotherie-B and Elong Elong across the committed project and the future Expansion. Archived sources name two energy hubs (Merotherie and Elong Elong) for the committed project and treat Barigan Creek as a switching station.</t>
        </is>
      </c>
      <c r="E19" s="5" t="inlineStr">
        <is>
          <t>The author must confirm the counting rule and whether future Expansion assets should be counted in the same cell as committed assets.</t>
        </is>
      </c>
      <c r="F19" s="5" t="inlineStr">
        <is>
          <t>CWO-18; CWO-22</t>
        </is>
      </c>
      <c r="G19" s="5" t="inlineStr">
        <is>
          <t>CWO-18 PDF pp11, 14; CWO-22 PDF pp23, 57</t>
        </is>
      </c>
    </row>
    <row r="20">
      <c r="A20" s="5" t="inlineStr">
        <is>
          <t>Central-West Orana Renewable Energy Zone</t>
        </is>
      </c>
      <c r="B20" s="5" t="inlineStr">
        <is>
          <t>warning</t>
        </is>
      </c>
      <c r="C20" s="5" t="inlineStr">
        <is>
          <t>AUTHOR_DECISION_REQUIRED</t>
        </is>
      </c>
      <c r="D20" s="5" t="inlineStr">
        <is>
          <t>The alt routes cell reads 0. No archived source assesses route redundancy or alternative routes for this project; the value is an author definition.</t>
        </is>
      </c>
      <c r="E20" s="5" t="inlineStr">
        <is>
          <t>The author must record the definition of an alternative route and confirm that two double circuit lines within one corridor are being counted as no alternative route.</t>
        </is>
      </c>
      <c r="F20" s="5" t="inlineStr"/>
      <c r="G20" s="5" t="inlineStr">
        <is>
          <t>No archived source addresses alt routes</t>
        </is>
      </c>
    </row>
    <row r="21">
      <c r="A21" s="5" t="inlineStr">
        <is>
          <t>Central-West Orana Renewable Energy Zone</t>
        </is>
      </c>
      <c r="B21" s="5" t="inlineStr">
        <is>
          <t>warning</t>
        </is>
      </c>
      <c r="C21" s="5" t="inlineStr">
        <is>
          <t>AUTHOR_DECISION_REQUIRED</t>
        </is>
      </c>
      <c r="D21" s="5" t="inlineStr">
        <is>
          <t>The Bannaby 500 kV substation is inside the statutory REZ network infrastructure description from November 2025 but has no observed funding pathway, operator or cost attribution, and no cost is allocated to it in this pack. Its operative gazette wording is also not machine-verifiable.</t>
        </is>
      </c>
      <c r="E21" s="5" t="inlineStr">
        <is>
          <t>The author must decide whether Bannaby belongs in the chart row's scope at all, and record that decision, before any cost or asset count implies it does.</t>
        </is>
      </c>
      <c r="F21" s="5" t="inlineStr">
        <is>
          <t>CWO-20</t>
        </is>
      </c>
      <c r="G21" s="5" t="inlineStr">
        <is>
          <t>CWO-20 PDF pp2-7</t>
        </is>
      </c>
    </row>
    <row r="22">
      <c r="A22" s="5" t="inlineStr">
        <is>
          <t>Central-West Orana Renewable Energy Zone</t>
        </is>
      </c>
      <c r="B22" s="5" t="inlineStr">
        <is>
          <t>warning</t>
        </is>
      </c>
      <c r="C22" s="5" t="inlineStr">
        <is>
          <t>MONITOR_LATER</t>
        </is>
      </c>
      <c r="D22" s="5" t="inlineStr">
        <is>
          <t>Three amounts are expected to change through defined mechanisms: the Barigan Creek incremental expenditure and $186.8m purchase price enter a future Enabling determination; the Main determination carries 29 adjustment mechanisms and five-yearly remakes; and the Expansion has no authorisation, recommendation or determination yet.</t>
        </is>
      </c>
      <c r="E22" s="5" t="inlineStr">
        <is>
          <t>Re-check at the next Enabling adjustment, the next Main remake and the first Expansion authorisation, and add new dated observations rather than editing existing ones.</t>
        </is>
      </c>
      <c r="F22" s="5" t="inlineStr">
        <is>
          <t>CWO-18; CWO-21; CWO-22</t>
        </is>
      </c>
      <c r="G22" s="5" t="inlineStr">
        <is>
          <t>CWO-18 PDF pp10, 44; CWO-21 PDF pp7, 10; CWO-22 PDF pp56-57</t>
        </is>
      </c>
    </row>
    <row r="23">
      <c r="A23" s="5" t="inlineStr">
        <is>
          <t>HumeLink</t>
        </is>
      </c>
      <c r="B23" s="5" t="inlineStr">
        <is>
          <t>warning</t>
        </is>
      </c>
      <c r="C23" s="5" t="inlineStr">
        <is>
          <t>NON_COMPARABLE_SERIES</t>
        </is>
      </c>
      <c r="D23" s="5" t="inlineStr">
        <is>
          <t>The HumeLink amounts do not form one cost series. $1,350m (PADR, 2020, price year not stated), $1,470-2,730m with $2,100m modelled (2020 ISP), $3,317m real 2020/21 (PACR Option 3C), $3,266m real June 2021 restated as $3,820m real June 2023 (MCC), $4,881m real June 2023 (MCC/CPA), $4.88bn real 2022-23 (feedback loop 3 and 4), $4,892m June 2023 dollars (2024 ISP), $4,279.14m real 2022-23 (Stage 2 application), $3,964.8m and $4,573.5m real 2022-23 (AER allowances) and $4.8bn (NSW planning capital investment value) differ in economic concept, scope boundary, stage, estimate class, price basis and publisher role. Application values, feedback-loop totals, ISP expected costs and regulatory allowances are separate observation types and are kept distinct in this pack.</t>
        </is>
      </c>
      <c r="E23" s="5" t="inlineStr">
        <is>
          <t>Do not compute an earliest-to-latest percentage, call any difference an overrun, or place these amounts on one trend line. The only same-price-basis comparison published in the archive is Transgrid's $3,820m to $4,881m (28%) in June 2023 dollars, and even that moves from AACE Class 4 to Class 2-3.</t>
        </is>
      </c>
      <c r="F23" s="5" t="inlineStr">
        <is>
          <t>HUM-TG-2020-PADR; HUM-AEMO-2020-ISP-A3; HUM-TG-2021-PACR; HUM-TG-2024-MCCA; HUM-AEMO-2023-FL3; HUM-AEMO-2024-ISP-A5; HUM-TG-2024-CPA2; HUM-AER-2024-CPA2; HUM-NSW-2024-DECISION</t>
        </is>
      </c>
      <c r="G23" s="5" t="inlineStr">
        <is>
          <t>HUM-TG-2020-PADR p27; HUM-AEMO-2020-ISP-A3 pp14, 29; HUM-TG-2021-PACR pp30, 59; HUM-TG-2024-MCCA pp11, 16, 35; HUM-AEMO-2023-FL3 p2; HUM-AEMO-2024-ISP-A5 p22; HUM-TG-2024-CPA2 p15; HUM-AER-2024-CPA2 pp33-34; HUM-NSW-2024-DECISION p3</t>
        </is>
      </c>
    </row>
    <row r="24">
      <c r="A24" s="5" t="inlineStr">
        <is>
          <t>HumeLink</t>
        </is>
      </c>
      <c r="B24" s="5" t="inlineStr">
        <is>
          <t>warning</t>
        </is>
      </c>
      <c r="C24" s="5" t="inlineStr">
        <is>
          <t>NON_ADDITIVE_BOUNDARIES</t>
        </is>
      </c>
      <c r="D24" s="5" t="inlineStr">
        <is>
          <t>Stage 1 Part 1, Stage 1 Part 2, Stage 2, early works, whole-project totals, AER cost categories, East and West delivery packages and the separate Wondalga project all have distinct boundaries. Early works of $330m/$321.9m/$327.6m/$531.5m/$632.9m/$0.6bn/$375.6m/$380.8m are the same activity restated across dates, price bases, rounding and stage definitions. AER category amounts (tendered works $2,590.6m, risk $382.1m, LLE $29.6m, land $197.3m, biodiversity $353.6m, labour and indirect $411.6m) are a cost view that overlaps physical components and delivery packages.</t>
        </is>
      </c>
      <c r="E24" s="5" t="inlineStr">
        <is>
          <t>Do not add separately stated amounts. In particular do not add Stage 1 Parts 1 and 2 across mixed price bases, do not add a stage to a total that already contains it, and do not treat the AER categories as a bill of quantities.</t>
        </is>
      </c>
      <c r="F24" s="5" t="inlineStr">
        <is>
          <t>HUM-AEMO-2022-FL1; HUM-AEMO-2023-FL2; HUM-AEMO-2023-FL3; HUM-AER-2022-CPA1P1; HUM-AER-2023-CPA1P2; HUM-AER-2024-CPA2; HUM-TG-2024-CPA2</t>
        </is>
      </c>
      <c r="G24" s="5" t="inlineStr">
        <is>
          <t>HUM-AEMO-2022-FL1 p1; HUM-AEMO-2023-FL2 p2; HUM-AEMO-2023-FL3 p2; HUM-AER-2022-CPA1P1 pp18-19; HUM-AER-2023-CPA1P2 p4; HUM-AER-2024-CPA2 p34; HUM-TG-2024-CPA2 pp15, 49</t>
        </is>
      </c>
    </row>
    <row r="25">
      <c r="A25" s="5" t="inlineStr">
        <is>
          <t>HumeLink</t>
        </is>
      </c>
      <c r="B25" s="5" t="inlineStr">
        <is>
          <t>warning</t>
        </is>
      </c>
      <c r="C25" s="5" t="inlineStr">
        <is>
          <t>AUTHOR_DECISION_REQUIRED</t>
        </is>
      </c>
      <c r="D25" s="5" t="inlineStr">
        <is>
          <t>The chart's $4.9 billion cost cell cannot be attributed with certainty. It matches AEMO's 2024 ISP expected cost of $4,892m (June 2023 dollars) when rounded, but it is also close to the $4.88bn feedback-loop total and to a scope-complete total that would add the separately actionable Switching Station Near Wondalga at $220m Class 5b (±50%) to the AER all-stage allowance of $4,573.5m (which would give $4,793.5m). The 2026 ISP publishes no HumeLink cost, and the workbook records no source for the cell.</t>
        </is>
      </c>
      <c r="E25" s="5" t="inlineStr">
        <is>
          <t>The author must state which amount the cell represents and whether Wondalga is inside the chart's cost boundary. If Wondalga is included, the rule must be named, the two amounts kept as separate observations with their different price and maturity bases, and the ±50% uncertainty must not be collapsed into an approved-looking single figure. If it is not included, the cell should be dated and price-based as the 2024 ISP figure and flagged as two ISP vintages old.</t>
        </is>
      </c>
      <c r="F25" s="5" t="inlineStr">
        <is>
          <t>HUM-AEMO-2024-ISP-A5; HUM-AEMO-2026-ISP-A5; HUM-AER-2024-CPA2; HUM-AEMO-2023-FL3</t>
        </is>
      </c>
      <c r="G25" s="5" t="inlineStr">
        <is>
          <t>HUM-AEMO-2024-ISP-A5 p22; HUM-AEMO-2026-ISP-A5 pp18-19, 47-48; HUM-AER-2024-CPA2 pp33-34; HUM-AEMO-2023-FL3 p2</t>
        </is>
      </c>
    </row>
    <row r="26">
      <c r="A26" s="5" t="inlineStr">
        <is>
          <t>HumeLink</t>
        </is>
      </c>
      <c r="B26" s="5" t="inlineStr">
        <is>
          <t>warning</t>
        </is>
      </c>
      <c r="C26" s="5" t="inlineStr">
        <is>
          <t>AUTHOR_DECISION_REQUIRED</t>
        </is>
      </c>
      <c r="D26" s="5" t="inlineStr">
        <is>
          <t>The chart records HumeLink as 1 line with 2 circuits. The archived scope is three line sections in an electrical loop, each all-double-circuit, plus a separate Gugaa to Wagga Wagga double-circuit line; the 2026 ISP calls the three elements 'circuits' while the 2021 PACR calls them 'lines' and warns that its schematic lines represent circuits, not routes.</t>
        </is>
      </c>
      <c r="E26" s="5" t="inlineStr">
        <is>
          <t>The author must state whether the chart columns count a representative single section or the whole project, and must adopt one vocabulary for line, circuit and tower line before these counts are compared across projects in the chart.</t>
        </is>
      </c>
      <c r="F26" s="5" t="inlineStr">
        <is>
          <t>HUM-TG-2021-PACR; HUM-TG-2021-RFI1; HUM-AEMO-2026-ISP-A5</t>
        </is>
      </c>
      <c r="G26" s="5" t="inlineStr">
        <is>
          <t>HUM-TG-2021-PACR pp30, 34; HUM-TG-2021-RFI1 p2; HUM-AEMO-2026-ISP-A5 pp18-19</t>
        </is>
      </c>
    </row>
    <row r="27">
      <c r="A27" s="5" t="inlineStr">
        <is>
          <t>HumeLink</t>
        </is>
      </c>
      <c r="B27" s="5" t="inlineStr">
        <is>
          <t>warning</t>
        </is>
      </c>
      <c r="C27" s="5" t="inlineStr">
        <is>
          <t>AUTHOR_DECISION_REQUIRED</t>
        </is>
      </c>
      <c r="D27" s="5" t="inlineStr">
        <is>
          <t>The chart's 365 km trunk length is unlabelled as to metric. The archive contains approximately 630 km (2020 ISP), around 360 km (AER 2022 and 2023) and around 365 km (NSW approval and 2026 ISP), and no source states whether any figure is route length or circuit length. The chart's own definition is total distance rated at 500 kV, which raises a further question about the Gugaa to Wagga Wagga line, built to 500 kV but initially operated at 330 kV, whose length is not published.</t>
        </is>
      </c>
      <c r="E27" s="5" t="inlineStr">
        <is>
          <t>The author must declare the metric and the inclusion rule before using 365 km, and before the millions-per-trunk-km ratio built on it is compared with other projects. Do not resolve 630 km against 360/365 km by inference.</t>
        </is>
      </c>
      <c r="F27" s="5" t="inlineStr">
        <is>
          <t>HUM-AEMO-2020-ISP-A3; HUM-AER-2022-CPA1P1; HUM-AER-2023-CPA1P2; HUM-NSW-2024-DECISION; HUM-AEMO-2026-ISP-A5</t>
        </is>
      </c>
      <c r="G27" s="5" t="inlineStr">
        <is>
          <t>HUM-AEMO-2020-ISP-A3 p29; HUM-AER-2022-CPA1P1 p9; HUM-AER-2023-CPA1P2 p8; HUM-NSW-2024-DECISION p1; HUM-AEMO-2026-ISP-A5 pp12, 18</t>
        </is>
      </c>
    </row>
    <row r="28">
      <c r="A28" s="5" t="inlineStr">
        <is>
          <t>HumeLink</t>
        </is>
      </c>
      <c r="B28" s="5" t="inlineStr">
        <is>
          <t>warning</t>
        </is>
      </c>
      <c r="C28" s="5" t="inlineStr">
        <is>
          <t>AUTHOR_DECISION_REQUIRED</t>
        </is>
      </c>
      <c r="D28" s="5" t="inlineStr">
        <is>
          <t>alt_routes is recorded as 0 but is an author definition. The archive holds a proponent opportunity claim (PADR), a participant allegation that the developed configuration had low diversity (Wunelli), a regulator finding that rejected the route-diversity grounds while requiring a different credible option, and a dated route change in September 2021. None of these is a corridor count.</t>
        </is>
      </c>
      <c r="E28" s="5" t="inlineStr">
        <is>
          <t>The author must define 'geographically separated corridors created with development' and decide whether the HumeLink loop counts as creating any, rather than leaving an unsourced 0.</t>
        </is>
      </c>
      <c r="F28" s="5" t="inlineStr">
        <is>
          <t>HUM-TG-2020-PADR; HUM-WUN-2021-DISPUTE; HUM-AER-2021-DISPUTE-DETERMINATION; HUM-TG-2021-NEWS-SEP</t>
        </is>
      </c>
      <c r="G28" s="5" t="inlineStr">
        <is>
          <t>HUM-TG-2020-PADR p6; HUM-WUN-2021-DISPUTE pp1-2; HUM-AER-2021-DISPUTE-DETERMINATION pp20, 26; HUM-TG-2021-NEWS-SEP p2</t>
        </is>
      </c>
    </row>
    <row r="29">
      <c r="A29" s="5" t="inlineStr">
        <is>
          <t>HumeLink</t>
        </is>
      </c>
      <c r="B29" s="5" t="inlineStr">
        <is>
          <t>warning</t>
        </is>
      </c>
      <c r="C29" s="5" t="inlineStr">
        <is>
          <t>CHART_DERIVATION</t>
        </is>
      </c>
      <c r="D29" s="5" t="inlineStr">
        <is>
          <t>Two chart cells are calculations, not sourced values. millions_per_trunk_km is 4,900 / 365 = 13.4247, computed from the chart's own cost and length cells. transformers 7,500 MVA is 3 x 1,500 MVA at Maragle plus 2 x 1,500 MVA at Gugaa; the archived sources publish unit ratings and counts but never a cumulative MVA total.</t>
        </is>
      </c>
      <c r="E29" s="5" t="inlineStr">
        <is>
          <t>Both cells inherit every boundary problem of their inputs. The ratio in particular changes to 12.53 if the AER all-stage allowance is used and to 7.77 if the 2020 ISP's 630 km is used.</t>
        </is>
      </c>
      <c r="F29" s="5" t="inlineStr">
        <is>
          <t>HUM-AEMO-2024-ISP-A5; HUM-NSW-2024-DECISION; HUM-AEMO-2026-ISP-A5; HUM-AER-2024-CPA2</t>
        </is>
      </c>
      <c r="G29" s="5" t="inlineStr">
        <is>
          <t>HUM-AEMO-2024-ISP-A5 p22; HUM-NSW-2024-DECISION p1; HUM-AEMO-2026-ISP-A5 p19; HUM-AER-2024-CPA2 p34</t>
        </is>
      </c>
    </row>
    <row r="30">
      <c r="A30" s="5" t="inlineStr">
        <is>
          <t>HumeLink</t>
        </is>
      </c>
      <c r="B30" s="5" t="inlineStr">
        <is>
          <t>warning</t>
        </is>
      </c>
      <c r="C30" s="5" t="inlineStr">
        <is>
          <t>PRICE_BASIS_UNKNOWN</t>
        </is>
      </c>
      <c r="D30" s="5" t="inlineStr">
        <is>
          <t>Ten cost observations carry no stated price basis: HUM-AO-2020-PADR-3C-CAPEX ($1,350m), HUM-AO-2020-ISP-COST-LOW ($1,470m), HUM-AO-2020-ISP-COST-HIGH ($2,730m), HUM-AO-2020-ISP-COST-CENTRAL ($2,100m), HUM-AO-2022-ISP-STAGE1 ($330m) and HUM-AO-2022-ISP-STAGE2 ($2,985m, the ISP row does not restate a basis), HUM-AO-2023-FL3-EW-APPROVED-2022 ($375.6m), HUM-AO-2023-FL3-EW-TOTAL-FL2 ($632.9m), HUM-AO-2024-PLANNING-CIV ($4.8bn) and HUM-AO-2026-WONDALGA-COST ($220m).</t>
        </is>
      </c>
      <c r="E30" s="5" t="inlineStr">
        <is>
          <t>These amounts cannot be escalated, deflated or compared with dated-basis amounts. Leave the basis null rather than assuming the publication year.</t>
        </is>
      </c>
      <c r="F30" s="5" t="inlineStr">
        <is>
          <t>HUM-TG-2020-PADR; HUM-AEMO-2020-ISP-A3; HUM-AEMO-2022-ISP; HUM-AEMO-2023-FL3; HUM-NSW-2024-DECISION; HUM-AEMO-2026-ISP-A5</t>
        </is>
      </c>
      <c r="G30" s="5" t="inlineStr">
        <is>
          <t>HUM-TG-2020-PADR p27; HUM-AEMO-2020-ISP-A3 pp14, 29; HUM-AEMO-2022-ISP p67; HUM-AEMO-2023-FL3 p2; HUM-NSW-2024-DECISION p3; HUM-AEMO-2026-ISP-A5 p48</t>
        </is>
      </c>
    </row>
    <row r="31">
      <c r="A31" s="5" t="inlineStr">
        <is>
          <t>HumeLink</t>
        </is>
      </c>
      <c r="B31" s="5" t="inlineStr">
        <is>
          <t>warning</t>
        </is>
      </c>
      <c r="C31" s="5" t="inlineStr">
        <is>
          <t>CONTRADICTION</t>
        </is>
      </c>
      <c r="D31" s="5" t="inlineStr">
        <is>
          <t>Length statements conflict without reconciliation: approximately 630 km of upgrades (2020 ISP), around 360 kilometres (AER 2022), 360 km (AER 2023) and around 365 km (NSW approval, 2026 ISP). The route-km versus circuit-km explanation is an inference, not stated in any archived passage. Terminology conflicts in the same way: the PACR describes three transmission lines but warns that its schematic lines represent circuits, while the 2026 ISP describes three transmission circuits between the same node pairs and separately names a Gugaa to Wagga Wagga double-circuit line.</t>
        </is>
      </c>
      <c r="E31" s="5" t="inlineStr">
        <is>
          <t>Record both metrics and both vocabularies. Do not normalise them without a topology dictionary and, if necessary, an engineering check.</t>
        </is>
      </c>
      <c r="F31" s="5" t="inlineStr">
        <is>
          <t>HUM-AEMO-2020-ISP-A3; HUM-AER-2022-CPA1P1; HUM-AER-2023-CPA1P2; HUM-NSW-2024-DECISION; HUM-AEMO-2026-ISP-A5; HUM-TG-2021-PACR</t>
        </is>
      </c>
      <c r="G31" s="5" t="inlineStr">
        <is>
          <t>HUM-AEMO-2020-ISP-A3 p29; HUM-AER-2022-CPA1P1 p9; HUM-AER-2023-CPA1P2 p8; HUM-NSW-2024-DECISION p1; HUM-AEMO-2026-ISP-A5 pp12, 18; HUM-TG-2021-PACR pp30, 34</t>
        </is>
      </c>
    </row>
    <row r="32">
      <c r="A32" s="5" t="inlineStr">
        <is>
          <t>HumeLink</t>
        </is>
      </c>
      <c r="B32" s="5" t="inlineStr">
        <is>
          <t>warning</t>
        </is>
      </c>
      <c r="C32" s="5" t="inlineStr">
        <is>
          <t>CONTRADICTION</t>
        </is>
      </c>
      <c r="D32" s="5" t="inlineStr">
        <is>
          <t>Two published amounts restate the same underlying estimate differently. The PACR gives Option 3C biodiversity offset cost as $935m while Transgrid's 1 September 2021 response to the AER states $953m for the same option. The PACR gives the Option 3C total as $3,317m in real 2020/21 dollars while the 2024 MCC assessment reports the PACR addendum total as $3,266m in real June 2021 dollars (rounded to $3.27 billion) before escalating it to $3,820m.</t>
        </is>
      </c>
      <c r="E32" s="5" t="inlineStr">
        <is>
          <t>Do not treat either pair as a revision or a correction; the archive does not explain the differences. Any comparison that starts from the PACR baseline must state which figure it uses.</t>
        </is>
      </c>
      <c r="F32" s="5" t="inlineStr">
        <is>
          <t>HUM-TG-2021-PACR; HUM-TG-2021-RFI1; HUM-TG-2024-MCCA</t>
        </is>
      </c>
      <c r="G32" s="5" t="inlineStr">
        <is>
          <t>HUM-TG-2021-PACR pp30, 59; HUM-TG-2021-RFI1 p2; HUM-TG-2024-MCCA pp11, 35</t>
        </is>
      </c>
    </row>
    <row r="33">
      <c r="A33" s="5" t="inlineStr">
        <is>
          <t>HumeLink</t>
        </is>
      </c>
      <c r="B33" s="5" t="inlineStr">
        <is>
          <t>warning</t>
        </is>
      </c>
      <c r="C33" s="5" t="inlineStr">
        <is>
          <t>SCOPE_TRANSFER</t>
        </is>
      </c>
      <c r="D33" s="5" t="inlineStr">
        <is>
          <t>Long lead equipment of up to $209.6 million was moved out of Stage 2 and into expanded early works in 2023. AEMO recorded that recovering it as early works reduces forecast capex for the implementation stage by an equivalent amount and that the estimate for the entire project remained unchanged. The AER's Stage 2 determination separately allows $29.6 million of long lead equipment on a different boundary.</t>
        </is>
      </c>
      <c r="E33" s="5" t="inlineStr">
        <is>
          <t>Treat the 2023 early-works growth as rebundling, not cost growth, and do not count long lead equipment in both Stage 1 Part 2 and Stage 2.</t>
        </is>
      </c>
      <c r="F33" s="5" t="inlineStr">
        <is>
          <t>HUM-AEMO-2023-FL2; HUM-AER-2023-CPA1P2; HUM-AER-2024-CPA2</t>
        </is>
      </c>
      <c r="G33" s="5" t="inlineStr">
        <is>
          <t>HUM-AEMO-2023-FL2 pp2-3; HUM-AER-2023-CPA1P2 p9; HUM-AER-2024-CPA2 p34</t>
        </is>
      </c>
    </row>
    <row r="34">
      <c r="A34" s="5" t="inlineStr">
        <is>
          <t>HumeLink</t>
        </is>
      </c>
      <c r="B34" s="5" t="inlineStr">
        <is>
          <t>warning</t>
        </is>
      </c>
      <c r="C34" s="5" t="inlineStr">
        <is>
          <t>SHARED_ATTRIBUTION</t>
        </is>
      </c>
      <c r="D34" s="5" t="inlineStr">
        <is>
          <t>Capacity on the SNSW to CNSW flow path is shared across projects. The Switching Station Near Wondalga adds 450 MW in each direction on top of HumeLink's 2,200 MW and names HumeLink as its prerequisite; the Waratah Super Battery with SIPS separately adds 250 MW in one direction; and AEMO records that the conductor rating between Wagga Wagga and Gugaa built for HumeLink reduces South West NSW REZ capacity from 800 MW to 400 MW.</t>
        </is>
      </c>
      <c r="E34" s="5" t="inlineStr">
        <is>
          <t>Do not attribute the whole flow-path capability to HumeLink, and do not add Wondalga's 450 MW to HumeLink's 2,200 MW without naming the scope rule.</t>
        </is>
      </c>
      <c r="F34" s="5" t="inlineStr">
        <is>
          <t>HUM-AEMO-2026-ISP-A5</t>
        </is>
      </c>
      <c r="G34" s="5" t="inlineStr">
        <is>
          <t>HUM-AEMO-2026-ISP-A5 pp18, 47-48</t>
        </is>
      </c>
    </row>
    <row r="35">
      <c r="A35" s="5" t="inlineStr">
        <is>
          <t>HumeLink</t>
        </is>
      </c>
      <c r="B35" s="5" t="inlineStr">
        <is>
          <t>warning</t>
        </is>
      </c>
      <c r="C35" s="5" t="inlineStr">
        <is>
          <t>OUTTURN_UNKNOWN</t>
        </is>
      </c>
      <c r="D35" s="5" t="inlineStr">
        <is>
          <t>No final as-built scope, commissioning result, audited outturn cost or final RAB addition exists in the archive. As of the 2026 ISP HumeLink is committed and expected in December 2027, and every monetary amount in this pack is an estimate, an application, an allowance or a planning measure.</t>
        </is>
      </c>
      <c r="E35" s="5" t="inlineStr">
        <is>
          <t>Retrospective forecast error cannot be calculated. Fields for actual completion and outturn cost must stay null rather than being imputed from approved expenditure.</t>
        </is>
      </c>
      <c r="F35" s="5" t="inlineStr">
        <is>
          <t>HUM-AEMO-2026-ISP-A5; HUM-AER-2024-CPA2</t>
        </is>
      </c>
      <c r="G35" s="5" t="inlineStr">
        <is>
          <t>HUM-AEMO-2026-ISP-A5 pp18-19; HUM-AER-2024-CPA2 pp33-34</t>
        </is>
      </c>
    </row>
    <row r="36">
      <c r="A36" s="5" t="inlineStr">
        <is>
          <t>HumeLink</t>
        </is>
      </c>
      <c r="B36" s="5" t="inlineStr">
        <is>
          <t>warning</t>
        </is>
      </c>
      <c r="C36" s="5" t="inlineStr">
        <is>
          <t>SOURCE_UNAVAILABLE</t>
        </is>
      </c>
      <c r="D36" s="5" t="inlineStr">
        <is>
          <t>Decisive underlying documents are not in the archive: the full Stage 1 principal application and its attachments (only the A.2 scope definition document is held), and the supporting cost models and confidential engineering estimates behind the RIT-T and CPA amounts. The Stage 2 principal application is held, but its own attachments are not.</t>
        </is>
      </c>
      <c r="E36" s="5" t="inlineStr">
        <is>
          <t>Amounts sourced from AER determinations and AEMO notices are recorded as those bodies published them; the pack does not claim the underlying build-ups were independently inspected.</t>
        </is>
      </c>
      <c r="F36" s="5" t="inlineStr">
        <is>
          <t>HUM-TG-2022-CPA1-SCOPE; HUM-AER-2022-CPA1P1; HUM-TG-2024-CPA2</t>
        </is>
      </c>
      <c r="G36" s="5" t="inlineStr">
        <is>
          <t>research/humelink-source-chain.md, source inventory and gaps table; HUM-TG-2022-CPA1-SCOPE pp6-10; HUM-AER-2022-CPA1P1 pp18-19</t>
        </is>
      </c>
    </row>
    <row r="37">
      <c r="A37" s="5" t="inlineStr">
        <is>
          <t>HumeLink</t>
        </is>
      </c>
      <c r="B37" s="5" t="inlineStr">
        <is>
          <t>warning</t>
        </is>
      </c>
      <c r="C37" s="5" t="inlineStr">
        <is>
          <t>MONITOR_LATER</t>
        </is>
      </c>
      <c r="D37" s="5" t="inlineStr">
        <is>
          <t>Delivery timing moved from July 2026 and December 2026 (feedback loop 3, 2024 ISP) to an expected December 2027 (2026 ISP) with no causal explanation in any archived source, and Transgrid's no-MCC conclusion of February 2024 was reached before that change.</t>
        </is>
      </c>
      <c r="E37" s="5" t="inlineStr">
        <is>
          <t>Watch for a later Transgrid or AER document that explains the schedule change and for any further material change in circumstance assessment; do not infer a cause.</t>
        </is>
      </c>
      <c r="F37" s="5" t="inlineStr">
        <is>
          <t>HUM-AEMO-2023-FL3; HUM-AEMO-2024-ISP-A5; HUM-AEMO-2026-ISP-A5; HUM-TG-2024-MCCA</t>
        </is>
      </c>
      <c r="G37" s="5" t="inlineStr">
        <is>
          <t>HUM-AEMO-2023-FL3 p2; HUM-AEMO-2024-ISP-A5 p22; HUM-AEMO-2026-ISP-A5 p18; HUM-TG-2024-MCCA p2</t>
        </is>
      </c>
    </row>
    <row r="38">
      <c r="A38" s="5" t="inlineStr">
        <is>
          <t>Hunter Transmission Project</t>
        </is>
      </c>
      <c r="B38" s="5" t="inlineStr">
        <is>
          <t>warning</t>
        </is>
      </c>
      <c r="C38" s="5" t="inlineStr">
        <is>
          <t>NON_COMPARABLE_SERIES</t>
        </is>
      </c>
      <c r="D38" s="5" t="inlineStr">
        <is>
          <t>The $1,364m (2026 ISP), $1,099m (2024 ISP) and approximately $1 billion (NSW Network Infrastructure Strategy, May 2023, HTP Stage 1) amounts are separate dated observations with different vintages, price bases and scope definitions. The 2023 figure is in real 2021 dollars and excludes finance, generator connection and system strength costs; neither ISP table states a dollar year.</t>
        </is>
      </c>
      <c r="E38" s="5" t="inlineStr">
        <is>
          <t>The $265m difference between the two ISP amounts is not an overrun, a revision or a cost series. Do not chart these three figures as a trend or compute an escalation.</t>
        </is>
      </c>
      <c r="F38" s="5" t="inlineStr">
        <is>
          <t>HUM-AEMO-2026-ISP-A5; HUM-AEMO-2024-ISP-A5; CWO-04</t>
        </is>
      </c>
      <c r="G38" s="5" t="inlineStr">
        <is>
          <t>HUM-AEMO-2026-ISP-A5 p39; HUM-AEMO-2024-ISP-A5 p24; CWO-04 pp46-47</t>
        </is>
      </c>
    </row>
    <row r="39">
      <c r="A39" s="5" t="inlineStr">
        <is>
          <t>Hunter Transmission Project</t>
        </is>
      </c>
      <c r="B39" s="5" t="inlineStr">
        <is>
          <t>warning</t>
        </is>
      </c>
      <c r="C39" s="5" t="inlineStr">
        <is>
          <t>PRICE_BASIS_UNKNOWN</t>
        </is>
      </c>
      <c r="D39" s="5" t="inlineStr">
        <is>
          <t>Neither the 2026 nor the 2024 ISP Appendix A5 option table states the dollar year for the reported HTP cost.</t>
        </is>
      </c>
      <c r="E39" s="5" t="inlineStr">
        <is>
          <t>The chart's $1.36bn cannot be placed on a stated price basis, and cannot be deflated or compared with the EnergyCo real 2021 dollar estimate.</t>
        </is>
      </c>
      <c r="F39" s="5" t="inlineStr">
        <is>
          <t>HUM-AEMO-2026-ISP-A5; HUM-AEMO-2024-ISP-A5</t>
        </is>
      </c>
      <c r="G39" s="5" t="inlineStr">
        <is>
          <t>HUM-AEMO-2026-ISP-A5 p39; HUM-AEMO-2024-ISP-A5 p24</t>
        </is>
      </c>
    </row>
    <row r="40">
      <c r="A40" s="5" t="inlineStr">
        <is>
          <t>Hunter Transmission Project</t>
        </is>
      </c>
      <c r="B40" s="5" t="inlineStr">
        <is>
          <t>warning</t>
        </is>
      </c>
      <c r="C40" s="5" t="inlineStr">
        <is>
          <t>NON_ADDITIVE_BOUNDARIES</t>
        </is>
      </c>
      <c r="D40" s="5" t="inlineStr">
        <is>
          <t>AEMO's 2026 HTP representation states the project 'includes the WSB and related upgrades', while the 2024 representation said it 'may include' them; no WSB cost, capacity or scope record was captured.</t>
        </is>
      </c>
      <c r="E40" s="5" t="inlineStr">
        <is>
          <t>The reported cost sits on a bundled boundary that cannot be decomposed from archived sources. Do not add WSB amounts to HTP, and do not treat the reported cost as covering only the Olney-Bayswater South works.</t>
        </is>
      </c>
      <c r="F40" s="5" t="inlineStr">
        <is>
          <t>HUM-AEMO-2026-ISP-A5; HUM-AEMO-2024-ISP-A5</t>
        </is>
      </c>
      <c r="G40" s="5" t="inlineStr">
        <is>
          <t>HUM-AEMO-2026-ISP-A5 p38; HUM-AEMO-2024-ISP-A5 p23</t>
        </is>
      </c>
    </row>
    <row r="41">
      <c r="A41" s="5" t="inlineStr">
        <is>
          <t>Hunter Transmission Project</t>
        </is>
      </c>
      <c r="B41" s="5" t="inlineStr">
        <is>
          <t>warning</t>
        </is>
      </c>
      <c r="C41" s="5" t="inlineStr">
        <is>
          <t>SHARED_ATTRIBUTION</t>
        </is>
      </c>
      <c r="D41" s="5" t="inlineStr">
        <is>
          <t>The 5,000 MW figure is a network hosting/transfer uplift enabling exports from the Central-West Orana, New England and Hunter-Central Coast REZs; the EnergyCo strategy frames the same project as lifting combined supportable REZ output from 3 GW to as much as 8 GW.</t>
        </is>
      </c>
      <c r="E41" s="5" t="inlineStr">
        <is>
          <t>The chart's 5 GW exceeds the transfer capacity of the single double-circuit line and is shared with other projects' capacity claims. Do not treat it as an asset rating or compute a cost per MW.</t>
        </is>
      </c>
      <c r="F41" s="5" t="inlineStr">
        <is>
          <t>HUM-AEMO-2026-ISP-A5; CWO-04</t>
        </is>
      </c>
      <c r="G41" s="5" t="inlineStr">
        <is>
          <t>HUM-AEMO-2026-ISP-A5 pp38-39; CWO-04 p46</t>
        </is>
      </c>
    </row>
    <row r="42">
      <c r="A42" s="5" t="inlineStr">
        <is>
          <t>Hunter Transmission Project</t>
        </is>
      </c>
      <c r="B42" s="5" t="inlineStr">
        <is>
          <t>warning</t>
        </is>
      </c>
      <c r="C42" s="5" t="inlineStr">
        <is>
          <t>SHARED_ATTRIBUTION</t>
        </is>
      </c>
      <c r="D42" s="5" t="inlineStr">
        <is>
          <t>The AER's December 2025 final decision determines $189.6 million ($ nominal) total revenue for 2026-31 for Ausgrid's Hunter-Central Coast REZ non-contestable network infrastructure project (distribution-level works at Muswellbrook, Singleton to Kurri, and a new Antiene switching station), and NSW Government Gazette No 569 (9 December 2022) declares the Hunter-Central Coast REZ with an intended network capacity of one gigawatt. Neither document mentions the Hunter Transmission Project or 'HTP' anywhere.</t>
        </is>
      </c>
      <c r="E42" s="5" t="inlineStr">
        <is>
          <t>The $189.6 million revenue figure and the 1 GW REZ capacity are Ausgrid distribution-level amounts for a separate, related REZ project; they must never be added to, compared with, or substituted for HTP's own cost observations (HTP-AO-2026-COST, HTP-AO-2024-COST, HTP-AO-2023-NIS-STAGE1-COST) or capacity observations (HTP-AO-2026-CAPACITY-FORWARD and related). HTP and the HCC Project both sit within the Hunter-Central Coast REZ and share that geography, but are delivered by different Network Operators under different statutory processes.</t>
        </is>
      </c>
      <c r="F42" s="5" t="inlineStr">
        <is>
          <t>HTP-AER-2025-FINALDECISION; HTP-NSWGOV-2022-GAZETTE-569</t>
        </is>
      </c>
      <c r="G42" s="5" t="inlineStr">
        <is>
          <t>HTP-AER-2025-FINALDECISION pp7,9; HTP-NSWGOV-2022-GAZETTE-569 p7</t>
        </is>
      </c>
    </row>
    <row r="43">
      <c r="A43" s="5" t="inlineStr">
        <is>
          <t>Hunter Transmission Project</t>
        </is>
      </c>
      <c r="B43" s="5" t="inlineStr">
        <is>
          <t>warning</t>
        </is>
      </c>
      <c r="C43" s="5" t="inlineStr">
        <is>
          <t>CHART_DERIVATION</t>
        </is>
      </c>
      <c r="D43" s="5" t="inlineStr">
        <is>
          <t>The chart's millions_per_trunk_km of 12.36 divides the rounded $1.36bn cost figure by the 110 km route length now archived from EnergyCo's 2026 project and infrastructure pages (1.36 * 1000 / 110 = 12.363636363636365), and the chart's transformers value of 3000 combines the two stated 1,500 MVA units.</t>
        </is>
      </c>
      <c r="E43" s="5" t="inlineStr">
        <is>
          <t>The ratio's inputs are both now archived and its arithmetic is reproducible, but it divides a rounded billion-dollar figure ($1.36bn) rather than the precise $1,364m reported cost, and the 110 km length comes from EnergyCo's own website rather than an independent EIS record, which remains uncaptured.</t>
        </is>
      </c>
      <c r="F43" s="5" t="inlineStr">
        <is>
          <t>HUM-AEMO-2026-ISP-A5; HTP-ENERGYCO-2026-INFRA-PAGE; HTP-ENERGYCO-2026-PROJECT-PAGE</t>
        </is>
      </c>
      <c r="G43" s="5" t="inlineStr">
        <is>
          <t>HUM-AEMO-2026-ISP-A5 p39; HTP-ENERGYCO-2026-INFRA-PAGE web; HTP-ENERGYCO-2026-PROJECT-PAGE web</t>
        </is>
      </c>
    </row>
    <row r="44">
      <c r="A44" s="5" t="inlineStr">
        <is>
          <t>Hunter Transmission Project</t>
        </is>
      </c>
      <c r="B44" s="5" t="inlineStr">
        <is>
          <t>warning</t>
        </is>
      </c>
      <c r="C44" s="5" t="inlineStr">
        <is>
          <t>SOURCE_UNAVAILABLE</t>
        </is>
      </c>
      <c r="D44" s="5" t="inlineStr">
        <is>
          <t>The EnergyCo independent assessment or business case could not be captured; both official routes returned HTTP 404 on 2026-09-03.</t>
        </is>
      </c>
      <c r="E44" s="5" t="inlineStr">
        <is>
          <t>No approved current cost, benefit case or delivery decision can be asserted for HTP.</t>
        </is>
      </c>
      <c r="F44" s="5" t="inlineStr">
        <is>
          <t>HTP-ENERGYCO-ASSESSMENT</t>
        </is>
      </c>
      <c r="G44" s="5" t="inlineStr">
        <is>
          <t>discovery.csv attempts 1-2</t>
        </is>
      </c>
    </row>
    <row r="45">
      <c r="A45" s="5" t="inlineStr">
        <is>
          <t>Hunter Transmission Project</t>
        </is>
      </c>
      <c r="B45" s="5" t="inlineStr">
        <is>
          <t>warning</t>
        </is>
      </c>
      <c r="C45" s="5" t="inlineStr">
        <is>
          <t>SOURCE_UNAVAILABLE</t>
        </is>
      </c>
      <c r="D45" s="5" t="inlineStr">
        <is>
          <t>The NSW planning authorisation and EIS record could not be captured; both official routes returned HTTP 404 on 2026-09-03.</t>
        </is>
      </c>
      <c r="E45" s="5" t="inlineStr">
        <is>
          <t>The author's circuits, transformer and feeder-line citations to EIS Table 4.1 and page 109 cannot be verified; feeder_lines_km is a gap and statutory approval cannot be asserted.</t>
        </is>
      </c>
      <c r="F45" s="5" t="inlineStr">
        <is>
          <t>HTP-NSW-PLANNING</t>
        </is>
      </c>
      <c r="G45" s="5" t="inlineStr">
        <is>
          <t>discovery.csv attempts 1-2</t>
        </is>
      </c>
    </row>
    <row r="46">
      <c r="A46" s="5" t="inlineStr">
        <is>
          <t>Hunter Transmission Project</t>
        </is>
      </c>
      <c r="B46" s="5" t="inlineStr">
        <is>
          <t>warning</t>
        </is>
      </c>
      <c r="C46" s="5" t="inlineStr">
        <is>
          <t>SOURCE_UNAVAILABLE</t>
        </is>
      </c>
      <c r="D46" s="5" t="inlineStr">
        <is>
          <t>The HTP statutory authorisation record could not be captured; both official routes returned HTTP 404 on 2026-09-03.</t>
        </is>
      </c>
      <c r="E46" s="5" t="inlineStr">
        <is>
          <t>No authorisation date or authorised scope can be recorded; AEMO's independent-assessment statement is the latest archived status.</t>
        </is>
      </c>
      <c r="F46" s="5" t="inlineStr">
        <is>
          <t>HTP-HTP-AUTH</t>
        </is>
      </c>
      <c r="G46" s="5" t="inlineStr">
        <is>
          <t>discovery.csv attempts 1-2</t>
        </is>
      </c>
    </row>
    <row r="47">
      <c r="A47" s="5" t="inlineStr">
        <is>
          <t>Hunter Transmission Project</t>
        </is>
      </c>
      <c r="B47" s="5" t="inlineStr">
        <is>
          <t>warning</t>
        </is>
      </c>
      <c r="C47" s="5" t="inlineStr">
        <is>
          <t>SOURCE_UNAVAILABLE</t>
        </is>
      </c>
      <c r="D47" s="5" t="inlineStr">
        <is>
          <t>The Waratah Super Battery SIPS and thermal-upgrade scope record could not be captured; both official routes returned HTTP 404 on 2026-09-03.</t>
        </is>
      </c>
      <c r="E47" s="5" t="inlineStr">
        <is>
          <t>The bundled WSB component cannot be sized or costed, so AEMO's bundled boundary cannot be decomposed.</t>
        </is>
      </c>
      <c r="F47" s="5" t="inlineStr">
        <is>
          <t>HTP-WSB-SIPS</t>
        </is>
      </c>
      <c r="G47" s="5" t="inlineStr">
        <is>
          <t>discovery.csv attempts 1-2</t>
        </is>
      </c>
    </row>
    <row r="48">
      <c r="A48" s="5" t="inlineStr">
        <is>
          <t>Hunter Transmission Project</t>
        </is>
      </c>
      <c r="B48" s="5" t="inlineStr">
        <is>
          <t>warning</t>
        </is>
      </c>
      <c r="C48" s="5" t="inlineStr">
        <is>
          <t>AUTHOR_DECISION_REQUIRED</t>
        </is>
      </c>
      <c r="D48" s="5" t="inlineStr">
        <is>
          <t>alt_routes = 1 is an author definition: completing the northern Sydney Ring gives an alternative 500 kV path south from Bayswater, discounted where the route parallels the existing 330 kV corridor. No archived source counts alternative routes, and the NSW Network Infrastructure Strategy's third-corridor indication for HTP Stage 2 appears only on a map, not in the archived text derivative.</t>
        </is>
      </c>
      <c r="E48" s="5" t="inlineStr">
        <is>
          <t>The author must confirm the counting rule and accept that the cell is a judgment, not a sourced value.</t>
        </is>
      </c>
      <c r="F48" s="5" t="inlineStr">
        <is>
          <t>CWO-04</t>
        </is>
      </c>
      <c r="G48" s="5" t="inlineStr">
        <is>
          <t>CWO-04 pp46-47</t>
        </is>
      </c>
    </row>
    <row r="49">
      <c r="A49" s="5" t="inlineStr">
        <is>
          <t>Hunter Transmission Project</t>
        </is>
      </c>
      <c r="B49" s="5" t="inlineStr">
        <is>
          <t>warning</t>
        </is>
      </c>
      <c r="C49" s="5" t="inlineStr">
        <is>
          <t>AUTHOR_DECISION_REQUIRED</t>
        </is>
      </c>
      <c r="D49" s="5" t="inlineStr">
        <is>
          <t>syncons_mva = 0, hubs = 0 and feeder_lines_km = 0 are author inferences from scope lists that do not state absence; the Transgrid system strength PACR and the EIS the author cites were not captured.</t>
        </is>
      </c>
      <c r="E49" s="5" t="inlineStr">
        <is>
          <t>The author must decide whether to publish zeros as asserted absences or leave the cells blank; they are recorded here as gaps.</t>
        </is>
      </c>
      <c r="F49" s="5" t="inlineStr"/>
      <c r="G49" s="5" t="inlineStr"/>
    </row>
    <row r="50">
      <c r="A50" s="5" t="inlineStr">
        <is>
          <t>Hunter Transmission Project</t>
        </is>
      </c>
      <c r="B50" s="5" t="inlineStr">
        <is>
          <t>warning</t>
        </is>
      </c>
      <c r="C50" s="5" t="inlineStr">
        <is>
          <t>MONITOR_LATER</t>
        </is>
      </c>
      <c r="D50" s="5" t="inlineStr">
        <is>
          <t>AEMO states construction is expected to start in late 2026 if the project is approved, and the proponent timing moved from December 2028 to November 2029 between ISPs without explanation in any archived source.</t>
        </is>
      </c>
      <c r="E50" s="5" t="inlineStr">
        <is>
          <t>Re-check EnergyCo and NSW planning records after the independent assessment concludes; the completion date and cost may both change.</t>
        </is>
      </c>
      <c r="F50" s="5" t="inlineStr">
        <is>
          <t>HUM-AEMO-2026-ISP-A5</t>
        </is>
      </c>
      <c r="G50" s="5" t="inlineStr">
        <is>
          <t>p39</t>
        </is>
      </c>
    </row>
    <row r="51">
      <c r="A51" s="5" t="inlineStr">
        <is>
          <t>Hunter Transmission Project</t>
        </is>
      </c>
      <c r="B51" s="5" t="inlineStr">
        <is>
          <t>warning</t>
        </is>
      </c>
      <c r="C51" s="5" t="inlineStr">
        <is>
          <t>SCOPE_TRANSFER</t>
        </is>
      </c>
      <c r="D51" s="5" t="inlineStr">
        <is>
          <t>HTP was an actionable ISP project in the 2022 ISP and now proceeds as an actionable New South Wales project under the Electricity Infrastructure Investment Act 2020 (NSW) rather than the RIT-T framework.</t>
        </is>
      </c>
      <c r="E51" s="5" t="inlineStr">
        <is>
          <t>No RIT-T cost-benefit record exists for HTP, so ISP option-table amounts are the only archived cost evidence and no regulatory determination confirms them.</t>
        </is>
      </c>
      <c r="F51" s="5" t="inlineStr">
        <is>
          <t>HUM-AEMO-2026-ISP-A5; HUM-AEMO-2022-ISP</t>
        </is>
      </c>
      <c r="G51" s="5" t="inlineStr">
        <is>
          <t>HUM-AEMO-2026-ISP-A5 pp38-39; HUM-AEMO-2022-ISP p62</t>
        </is>
      </c>
    </row>
    <row r="52">
      <c r="A52" s="5" t="inlineStr">
        <is>
          <t>Project Marinus</t>
        </is>
      </c>
      <c r="B52" s="5" t="inlineStr">
        <is>
          <t>warning</t>
        </is>
      </c>
      <c r="C52" s="5" t="inlineStr">
        <is>
          <t>NON_COMPARABLE_SERIES</t>
        </is>
      </c>
      <c r="D52" s="5" t="inlineStr">
        <is>
          <t>The 2021, 2024, 2025 and 2026 amounts differ in scope, price basis, maturity and methodology.</t>
        </is>
      </c>
      <c r="E52" s="5" t="inlineStr">
        <is>
          <t>Do not calculate an automatic earliest-to-latest percentage or label it an overrun.</t>
        </is>
      </c>
      <c r="F52" s="5" t="inlineStr">
        <is>
          <t>ML-TN-2021-PACR; HUM-AEMO-2024-ISP-A5; ML-TN-2025-RITT; HUM-AEMO-2026-ISP-A5</t>
        </is>
      </c>
      <c r="G52" s="5" t="inlineStr">
        <is>
          <t>ML-TN-2021-PACR pp16-17, 85; HUM-AEMO-2024-ISP-A5 p37; ML-TN-2025-RITT p18; HUM-AEMO-2026-ISP-A5 p59</t>
        </is>
      </c>
    </row>
    <row r="53">
      <c r="A53" s="5" t="inlineStr">
        <is>
          <t>Project Marinus</t>
        </is>
      </c>
      <c r="B53" s="5" t="inlineStr">
        <is>
          <t>warning</t>
        </is>
      </c>
      <c r="C53" s="5" t="inlineStr">
        <is>
          <t>NON_ADDITIVE_BOUNDARIES</t>
        </is>
      </c>
      <c r="D53" s="5" t="inlineStr">
        <is>
          <t>HVDC, HVAC/NWTD, Stage 1, Stage 2 and transferred REZ works have distinct boundaries.</t>
        </is>
      </c>
      <c r="E53" s="5" t="inlineStr">
        <is>
          <t>Do not automatically sum separately stated values.</t>
        </is>
      </c>
      <c r="F53" s="5" t="inlineStr">
        <is>
          <t>HUM-AEMO-2024-ISP-A5; ML-TN-2025-RITT; HUM-AEMO-2026-ISP-A5</t>
        </is>
      </c>
      <c r="G53" s="5" t="inlineStr">
        <is>
          <t>HUM-AEMO-2024-ISP-A5 p37; ML-TN-2025-RITT p18; HUM-AEMO-2026-ISP-A5 pp58-59</t>
        </is>
      </c>
    </row>
    <row r="54">
      <c r="A54" s="6" t="inlineStr">
        <is>
          <t>Project Marinus</t>
        </is>
      </c>
      <c r="B54" s="6" t="inlineStr">
        <is>
          <t>blocker</t>
        </is>
      </c>
      <c r="C54" s="6" t="inlineStr">
        <is>
          <t>CONTRADICTION</t>
        </is>
      </c>
      <c r="D54" s="6" t="inlineStr">
        <is>
          <t>The chart row states $5.5 billion and 1.4 GW. No archived source states either value for any Project Marinus boundary; sources state 1,500 MW and, for the chart's own two-stage boundary, a reported total of $7,570 million in $2023.</t>
        </is>
      </c>
      <c r="E54" s="6" t="inlineStr">
        <is>
          <t>The cost and capacity cells should not be published as they stand. Publish the source-defined observations with their boundaries, or mark the cells as under review.</t>
        </is>
      </c>
      <c r="F54" s="6" t="inlineStr">
        <is>
          <t>HUM-AEMO-2026-ISP-A5; ML-TN-2025-RITT; ML-TN-2021-PACR</t>
        </is>
      </c>
      <c r="G54" s="6" t="inlineStr">
        <is>
          <t>HUM-AEMO-2026-ISP-A5 pp26, 58-59; ML-TN-2025-RITT p18; ML-TN-2021-PACR p77</t>
        </is>
      </c>
    </row>
    <row r="55">
      <c r="A55" s="5" t="inlineStr">
        <is>
          <t>Project Marinus</t>
        </is>
      </c>
      <c r="B55" s="5" t="inlineStr">
        <is>
          <t>warning</t>
        </is>
      </c>
      <c r="C55" s="5" t="inlineStr">
        <is>
          <t>PRICE_BASIS_UNKNOWN</t>
        </is>
      </c>
      <c r="D55" s="5" t="inlineStr">
        <is>
          <t>The 2024 ISP Appendix 5 project table states expected costs for Project Marinus without naming a dollar year, so ML-AO-2024-* observations carry a null price basis.</t>
        </is>
      </c>
      <c r="E55" s="5" t="inlineStr">
        <is>
          <t>Do not compare the 2024 ISP amounts with the $2020, $2023 or $2025 figures, and do not assume a dollar year for them.</t>
        </is>
      </c>
      <c r="F55" s="5" t="inlineStr">
        <is>
          <t>HUM-AEMO-2024-ISP-A5</t>
        </is>
      </c>
      <c r="G55" s="5" t="inlineStr">
        <is>
          <t>HUM-AEMO-2024-ISP-A5 p37</t>
        </is>
      </c>
    </row>
    <row r="56">
      <c r="A56" s="5" t="inlineStr">
        <is>
          <t>Project Marinus</t>
        </is>
      </c>
      <c r="B56" s="5" t="inlineStr">
        <is>
          <t>warning</t>
        </is>
      </c>
      <c r="C56" s="5" t="inlineStr">
        <is>
          <t>SOURCE_UNAVAILABLE</t>
        </is>
      </c>
      <c r="D56" s="5" t="inlineStr">
        <is>
          <t>The joint ministerial media release announcing Stage 1 financial close (3 September 2025) is now archived as ML-DCCEEW-2025-FID and is the archived record of the decision. The operative FID/funding instrument itself (RECFiT decision, CEFC finance agreement, or equivalent) remains unavailable through two official routes (RECFiT decision page HTTP 403; AEMO feedback-loop announcement HTTP 403).</t>
        </is>
      </c>
      <c r="E56" s="5" t="inlineStr">
        <is>
          <t>The announcement is captured but not the instrument; treat the $3.8bn CEFC funding figure and equity commitments as reported by the announcement, not independently verified against the underlying legal/financial instrument.</t>
        </is>
      </c>
      <c r="F56" s="5" t="inlineStr">
        <is>
          <t>HUM-AEMO-2026-ISP-A5; ML-DCCEEW-2025-FID</t>
        </is>
      </c>
      <c r="G56" s="5" t="inlineStr">
        <is>
          <t>HUM-AEMO-2026-ISP-A5 pp26-27; ML-DCCEEW-2025-FID web; discovery record ML-DISC-2025-FID</t>
        </is>
      </c>
    </row>
    <row r="57">
      <c r="A57" s="5" t="inlineStr">
        <is>
          <t>Project Marinus</t>
        </is>
      </c>
      <c r="B57" s="5" t="inlineStr">
        <is>
          <t>warning</t>
        </is>
      </c>
      <c r="C57" s="5" t="inlineStr">
        <is>
          <t>SOURCE_UNAVAILABLE</t>
        </is>
      </c>
      <c r="D57" s="5" t="inlineStr">
        <is>
          <t>The underlying 2024 proponent RIT-T update returned HTTP 404 at two attempted attachment routes.</t>
        </is>
      </c>
      <c r="E57" s="5" t="inlineStr">
        <is>
          <t>The EY report is retained as modelling evidence, not substituted as the proponent cost record.</t>
        </is>
      </c>
      <c r="F57" s="5" t="inlineStr">
        <is>
          <t>ML-EY-2024-RITT</t>
        </is>
      </c>
      <c r="G57" s="5" t="inlineStr">
        <is>
          <t>discovery record ML-DISC-2024-RITT</t>
        </is>
      </c>
    </row>
    <row r="58">
      <c r="A58" s="5" t="inlineStr">
        <is>
          <t>Project Marinus</t>
        </is>
      </c>
      <c r="B58" s="5" t="inlineStr">
        <is>
          <t>warning</t>
        </is>
      </c>
      <c r="C58" s="5" t="inlineStr">
        <is>
          <t>OUTTURN_UNKNOWN</t>
        </is>
      </c>
      <c r="D58" s="5" t="inlineStr">
        <is>
          <t>A Stage 1 civils and construction contract value is now archived ($994 million nominal, TasVic Greenlink, executed 17 December 2025), but no current construction outturn (actual spend to date) has been captured.</t>
        </is>
      </c>
      <c r="E58" s="5" t="inlineStr">
        <is>
          <t>Treat the $994m figure as an executed contract price, not a construction outturn; all other monetary values remain estimates or planner/proponent observations.</t>
        </is>
      </c>
      <c r="F58" s="5" t="inlineStr">
        <is>
          <t>ML-TN-2025-RITT; HUM-AEMO-2026-ISP-A5; ML-MLPL-2025-CONTRACT</t>
        </is>
      </c>
      <c r="G58" s="5" t="inlineStr">
        <is>
          <t>HUM-AEMO-2026-ISP-A5 pp26-27, 58-59; ML-MLPL-2025-CONTRACT web; research search gap</t>
        </is>
      </c>
    </row>
    <row r="59">
      <c r="A59" s="5" t="inlineStr">
        <is>
          <t>Project Marinus</t>
        </is>
      </c>
      <c r="B59" s="5" t="inlineStr">
        <is>
          <t>warning</t>
        </is>
      </c>
      <c r="C59" s="5" t="inlineStr">
        <is>
          <t>SCOPE_TRANSFER</t>
        </is>
      </c>
      <c r="D59" s="5" t="inlineStr">
        <is>
          <t>The 2026 $2,485m Stage 2 option excludes $184m Burnie-Hampshire scope transferred to Tasmania REZ Expansion.</t>
        </is>
      </c>
      <c r="E59" s="5" t="inlineStr">
        <is>
          <t>It is not directly comparable with the $2,535m Stage 2 observation.</t>
        </is>
      </c>
      <c r="F59" s="5" t="inlineStr">
        <is>
          <t>HUM-AEMO-2026-ISP-A5</t>
        </is>
      </c>
      <c r="G59" s="5" t="inlineStr">
        <is>
          <t>HUM-AEMO-2026-ISP-A5 p59</t>
        </is>
      </c>
    </row>
    <row r="60">
      <c r="A60" s="5" t="inlineStr">
        <is>
          <t>Project Marinus</t>
        </is>
      </c>
      <c r="B60" s="5" t="inlineStr">
        <is>
          <t>warning</t>
        </is>
      </c>
      <c r="C60" s="5" t="inlineStr">
        <is>
          <t>SHARED_ATTRIBUTION</t>
        </is>
      </c>
      <c r="D60" s="5" t="inlineStr">
        <is>
          <t>Tasmania REZ Expansion (T2 Option 1) and the NWTD works share scope and benefits with Project Marinus but are separate actionable projects with their own cost boundaries.</t>
        </is>
      </c>
      <c r="E60" s="5" t="inlineStr">
        <is>
          <t>Do not allocate Tasmania REZ Expansion or NWTD amounts to the Marinus chart row, and do not treat the row as covering all Tasmanian works enabled by the interconnector.</t>
        </is>
      </c>
      <c r="F60" s="5" t="inlineStr">
        <is>
          <t>HUM-AEMO-2026-ISP-A5; ML-TN-2025-RITT</t>
        </is>
      </c>
      <c r="G60" s="5" t="inlineStr">
        <is>
          <t>HUM-AEMO-2026-ISP-A5 pp26, 58-59; ML-TN-2025-RITT p18</t>
        </is>
      </c>
    </row>
    <row r="61">
      <c r="A61" s="5" t="inlineStr">
        <is>
          <t>Project Marinus</t>
        </is>
      </c>
      <c r="B61" s="5" t="inlineStr">
        <is>
          <t>warning</t>
        </is>
      </c>
      <c r="C61" s="5" t="inlineStr">
        <is>
          <t>CHART_DERIVATION</t>
        </is>
      </c>
      <c r="D61" s="5" t="inlineStr">
        <is>
          <t>The chart's 345 km trunk length is the sum of two separately stated approximate HVDC cable lengths (255 km subsea, 90 km underground), and Millions/trunk KM is a workbook formula over that sum and the contradicted cost cell.</t>
        </is>
      </c>
      <c r="E61" s="5" t="inlineStr">
        <is>
          <t>Neither derived cell is an archived figure. Publish the two length observations separately, and do not publish a cost per kilometre.</t>
        </is>
      </c>
      <c r="F61" s="5" t="inlineStr">
        <is>
          <t>ML-TN-2025-RITT</t>
        </is>
      </c>
      <c r="G61" s="5" t="inlineStr">
        <is>
          <t>ML-TN-2025-RITT p6</t>
        </is>
      </c>
    </row>
    <row r="62">
      <c r="A62" s="5" t="inlineStr">
        <is>
          <t>Project Marinus</t>
        </is>
      </c>
      <c r="B62" s="5" t="inlineStr">
        <is>
          <t>warning</t>
        </is>
      </c>
      <c r="C62" s="5" t="inlineStr">
        <is>
          <t>AUTHOR_DECISION_REQUIRED</t>
        </is>
      </c>
      <c r="D62" s="5" t="inlineStr">
        <is>
          <t>Three definitions are the author's to settle: whether any inclusive cost view (Project Marinus plus NWTD) may be published; whether an HVDC cable route counts as trunk kilometres when the chart defines trunk as distance rated at 500 kV; and how alt routes and hubs are counted for a subsea interconnector.</t>
        </is>
      </c>
      <c r="E62" s="5" t="inlineStr">
        <is>
          <t>Until the author decides, the cost cell stays at the source-defined boundary, the trunk cell stays marked as derived, and alt_routes and hubs stay marked as judgments.</t>
        </is>
      </c>
      <c r="F62" s="5" t="inlineStr"/>
      <c r="G62" s="5" t="inlineStr">
        <is>
          <t>Policy Paper Chart notes rows 16-22; ML-TN-2025-RITT p6; HUM-AEMO-2026-ISP-A5 pp26-27</t>
        </is>
      </c>
    </row>
    <row r="63">
      <c r="A63" s="5" t="inlineStr">
        <is>
          <t>Project Marinus</t>
        </is>
      </c>
      <c r="B63" s="5" t="inlineStr">
        <is>
          <t>warning</t>
        </is>
      </c>
      <c r="C63" s="5" t="inlineStr">
        <is>
          <t>MONITOR_LATER</t>
        </is>
      </c>
      <c r="D63" s="5" t="inlineStr">
        <is>
          <t>Procurement outcomes, construction packages, the AER revenue determination following the July 2025 revised Revenue Proposal, and any derived metrics after scope resolution are not yet captured.</t>
        </is>
      </c>
      <c r="E63" s="5" t="inlineStr">
        <is>
          <t>Revisit after the sprint; the current pack cannot answer questions about delivered cost or committed contracts.</t>
        </is>
      </c>
      <c r="F63" s="5" t="inlineStr"/>
      <c r="G63" s="5" t="inlineStr">
        <is>
          <t>research cut-off 2026-09-03</t>
        </is>
      </c>
    </row>
    <row r="64">
      <c r="A64" s="6" t="inlineStr">
        <is>
          <t>New England REZ Network Infrastructure Project</t>
        </is>
      </c>
      <c r="B64" s="6" t="inlineStr">
        <is>
          <t>blocker</t>
        </is>
      </c>
      <c r="C64" s="6" t="inlineStr">
        <is>
          <t>AUTHOR_DECISION_REQUIRED</t>
        </is>
      </c>
      <c r="D64" s="6" t="inlineStr">
        <is>
          <t>The chart's $5.914bn cost has no archived support. It is a sum of three option costs from the Draft 2026 ISP Appendix 5 (pages 34-35), which is not in the archive; the archived final 2026 ISP Appendix A5 leaves the NIP's reported cost blank and its pages 34-35 are the Gladstone Project. The archived 2024 ISP option costs sum to $3,697m on a superseded two-part scope.</t>
        </is>
      </c>
      <c r="E64" s="6" t="inlineStr">
        <is>
          <t>The author must either supply the Draft 2026 ISP Appendix 5 capture, restate the cell against the archived final ISP (which publishes no cost), or withdraw the figure. The row should not be published with this cost cell as-is.</t>
        </is>
      </c>
      <c r="F64" s="6" t="inlineStr">
        <is>
          <t>HUM-AEMO-2026-ISP-A5; HUM-AEMO-2024-ISP-A5</t>
        </is>
      </c>
      <c r="G64" s="6" t="inlineStr">
        <is>
          <t>HUM-AEMO-2026-ISP-A5 pp30-32, 34-35; HUM-AEMO-2024-ISP-A5 p30</t>
        </is>
      </c>
    </row>
    <row r="65">
      <c r="A65" s="5" t="inlineStr">
        <is>
          <t>New England REZ Network Infrastructure Project</t>
        </is>
      </c>
      <c r="B65" s="5" t="inlineStr">
        <is>
          <t>warning</t>
        </is>
      </c>
      <c r="C65" s="5" t="inlineStr">
        <is>
          <t>SOURCE_UNAVAILABLE</t>
        </is>
      </c>
      <c r="D65" s="5" t="inlineStr">
        <is>
          <t>The Draft 2026 ISP Appendix 5, the author's stated source for the three option costs totalling $5.9 billion, is not in the manifest and was not among the acquisition targets.</t>
        </is>
      </c>
      <c r="E65" s="5" t="inlineStr">
        <is>
          <t>The three amounts cannot be verified, recorded as observations, or summed. Cite nothing from it.</t>
        </is>
      </c>
      <c r="F65" s="5" t="inlineStr"/>
      <c r="G65" s="5" t="inlineStr">
        <is>
          <t>Author note: Draft 2026 ISP, Appendix 5, pages 34 and 35</t>
        </is>
      </c>
    </row>
    <row r="66">
      <c r="A66" s="5" t="inlineStr">
        <is>
          <t>New England REZ Network Infrastructure Project</t>
        </is>
      </c>
      <c r="B66" s="5" t="inlineStr">
        <is>
          <t>warning</t>
        </is>
      </c>
      <c r="C66" s="5" t="inlineStr">
        <is>
          <t>SOURCE_UNAVAILABLE</t>
        </is>
      </c>
      <c r="D66" s="5" t="inlineStr">
        <is>
          <t>EnergyCo's current New England REZ scope and procurement page was not captured (HTTP 403 on both /ne and /our-projects/new-england-rez).</t>
        </is>
      </c>
      <c r="E66" s="5" t="inlineStr">
        <is>
          <t>Current proponent scope, hub naming, route length and procurement status cannot be verified against the proponent; AEMO's account is the only evidence.</t>
        </is>
      </c>
      <c r="F66" s="5" t="inlineStr">
        <is>
          <t>ENE-SCOPE-ENERGYCO</t>
        </is>
      </c>
      <c r="G66" s="5" t="inlineStr">
        <is>
          <t>discovery records D-ENE-006, D-ENE-007</t>
        </is>
      </c>
    </row>
    <row r="67">
      <c r="A67" s="5" t="inlineStr">
        <is>
          <t>New England REZ Network Infrastructure Project</t>
        </is>
      </c>
      <c r="B67" s="5" t="inlineStr">
        <is>
          <t>warning</t>
        </is>
      </c>
      <c r="C67" s="5" t="inlineStr">
        <is>
          <t>SOURCE_UNAVAILABLE</t>
        </is>
      </c>
      <c r="D67" s="5" t="inlineStr">
        <is>
          <t>AEMO's Transmission Augmentation Information page was not captured (HTTP 403 on both routes).</t>
        </is>
      </c>
      <c r="E67" s="5" t="inlineStr">
        <is>
          <t>The January 2034 delivery date and the one-part scope advice rest on AEMO's appendix text citing that page; the underlying EnergyCo advice is unverified.</t>
        </is>
      </c>
      <c r="F67" s="5" t="inlineStr">
        <is>
          <t>ENE-TAI-AEMO</t>
        </is>
      </c>
      <c r="G67" s="5" t="inlineStr">
        <is>
          <t>discovery records D-ENE-008, D-ENE-009</t>
        </is>
      </c>
    </row>
    <row r="68">
      <c r="A68" s="5" t="inlineStr">
        <is>
          <t>New England REZ Network Infrastructure Project</t>
        </is>
      </c>
      <c r="B68" s="5" t="inlineStr">
        <is>
          <t>warning</t>
        </is>
      </c>
      <c r="C68" s="5" t="inlineStr">
        <is>
          <t>SOURCE_UNAVAILABLE</t>
        </is>
      </c>
      <c r="D68" s="5" t="inlineStr">
        <is>
          <t>The CSSI/EIS planning record for the NIP was not captured (NSW Planning HTTP 404, EnergyCo EIS route HTTP 403).</t>
        </is>
      </c>
      <c r="E68" s="5" t="inlineStr">
        <is>
          <t>The June 2024 CSSI declaration, environmental impact statement scope, route length and asset schedules are unverified; the EIS route-length and line-count evidence available for Hunter Transmission Project has no counterpart here.</t>
        </is>
      </c>
      <c r="F68" s="5" t="inlineStr">
        <is>
          <t>ENE-CSSI</t>
        </is>
      </c>
      <c r="G68" s="5" t="inlineStr">
        <is>
          <t>discovery records D-ENE-010, D-ENE-011</t>
        </is>
      </c>
    </row>
    <row r="69">
      <c r="A69" s="5" t="inlineStr">
        <is>
          <t>New England REZ Network Infrastructure Project</t>
        </is>
      </c>
      <c r="B69" s="5" t="inlineStr">
        <is>
          <t>warning</t>
        </is>
      </c>
      <c r="C69" s="5" t="inlineStr">
        <is>
          <t>SOURCE_UNAVAILABLE</t>
        </is>
      </c>
      <c r="D69" s="5" t="inlineStr">
        <is>
          <t>The EnergyCo interactive map (caportal.com.au/energyco/rez), the author's source for the five named hubs and their voltages, is not archived.</t>
        </is>
      </c>
      <c r="E69" s="5" t="inlineStr">
        <is>
          <t>The hub count is corroborated by the archived 2026 ISP scope list, but the chart's hub names and voltages are not verifiable; treat the naming as unsourced.</t>
        </is>
      </c>
      <c r="F69" s="5" t="inlineStr"/>
      <c r="G69" s="5" t="inlineStr">
        <is>
          <t>Author note: EnergyCo interactive map, accessed 1 September 2026</t>
        </is>
      </c>
    </row>
    <row r="70">
      <c r="A70" s="5" t="inlineStr">
        <is>
          <t>New England REZ Network Infrastructure Project</t>
        </is>
      </c>
      <c r="B70" s="5" t="inlineStr">
        <is>
          <t>warning</t>
        </is>
      </c>
      <c r="C70" s="5" t="inlineStr">
        <is>
          <t>CHART_DERIVATION</t>
        </is>
      </c>
      <c r="D70" s="5" t="inlineStr">
        <is>
          <t>Three chart cells are calculations rather than published values: transformers 10,500 MVA is (4 x 1,500) + (3 x 1,500) from two archived HUM-AEMO-2026-ISP-A5 scope bullets, circuits 4 is 2 x 2 from EnergyCo's 2025 consultation paper's two double-circuit 500 kV lines, and millions_per_trunk_km 19.39 is $5,914m divided by 305 km.</t>
        </is>
      </c>
      <c r="E70" s="5" t="inlineStr">
        <is>
          <t>The transformer total and the circuits total are each auditable against an archived source but are not figures the source itself publishes as a total; the ratio has no archived inputs at all and must not be presented as sourced.</t>
        </is>
      </c>
      <c r="F70" s="5" t="inlineStr">
        <is>
          <t>HUM-AEMO-2026-ISP-A5; NER-ENERGYCO-2025-CONSULTATION</t>
        </is>
      </c>
      <c r="G70" s="5" t="inlineStr">
        <is>
          <t>HUM-AEMO-2026-ISP-A5 p31; NER-ENERGYCO-2025-CONSULTATION p11</t>
        </is>
      </c>
    </row>
    <row r="71">
      <c r="A71" s="5" t="inlineStr">
        <is>
          <t>New England REZ Network Infrastructure Project</t>
        </is>
      </c>
      <c r="B71" s="5" t="inlineStr">
        <is>
          <t>warning</t>
        </is>
      </c>
      <c r="C71" s="5" t="inlineStr">
        <is>
          <t>NON_ADDITIVE_BOUNDARIES</t>
        </is>
      </c>
      <c r="D71" s="5" t="inlineStr">
        <is>
          <t>The 8,000 MW declared intent, the 6,000 MW forward and 6,000 MW reverse 2026 delivery-scope figures, the 2024 flow path 3,000 MW and REZ N2 2,000/1,000/3,000 MW figures, and the EnergyCo 6 GW / 0.8 GW / 1.5 GW option capacities all have distinct boundaries. The 2024 option costs $1,834m, $370m and $1,493m likewise sit on separate option boundaries with Option 2 conditional on Option 1.</t>
        </is>
      </c>
      <c r="E71" s="5" t="inlineStr">
        <is>
          <t>Do not add any of these figures together, and do not treat the 2024 option costs as a decomposition of the current single-part project.</t>
        </is>
      </c>
      <c r="F71" s="5" t="inlineStr">
        <is>
          <t>HUM-AEMO-2026-ISP-A5; HUM-AEMO-2024-ISP-A5; CWO-04</t>
        </is>
      </c>
      <c r="G71" s="5" t="inlineStr">
        <is>
          <t>HUM-AEMO-2026-ISP-A5 pp30-31; HUM-AEMO-2024-ISP-A5 p30; CWO-04 pp9, 11, 13, 35</t>
        </is>
      </c>
    </row>
    <row r="72">
      <c r="A72" s="5" t="inlineStr">
        <is>
          <t>New England REZ Network Infrastructure Project</t>
        </is>
      </c>
      <c r="B72" s="5" t="inlineStr">
        <is>
          <t>warning</t>
        </is>
      </c>
      <c r="C72" s="5" t="inlineStr">
        <is>
          <t>NON_COMPARABLE_SERIES</t>
        </is>
      </c>
      <c r="D72" s="5" t="inlineStr">
        <is>
          <t>The 2022 $1.9bn New England REZ Transmission Link estimate, the 2024 three-option costs, the 2023 EnergyCo portfolio-level $7.8bn Deliver Now estimate and the blank 2026 reported cost differ in project definition, scope, maturity and price basis.</t>
        </is>
      </c>
      <c r="E72" s="5" t="inlineStr">
        <is>
          <t>Do not build a cost series or calculate an escalation or overrun across them.</t>
        </is>
      </c>
      <c r="F72" s="5" t="inlineStr">
        <is>
          <t>HUM-AEMO-2022-ISP; HUM-AEMO-2024-ISP-A5; HUM-AEMO-2026-ISP-A5; CWO-04</t>
        </is>
      </c>
      <c r="G72" s="5" t="inlineStr">
        <is>
          <t>HUM-AEMO-2022-ISP p72; HUM-AEMO-2024-ISP-A5 p30; HUM-AEMO-2026-ISP-A5 p31; CWO-04 p9</t>
        </is>
      </c>
    </row>
    <row r="73">
      <c r="A73" s="5" t="inlineStr">
        <is>
          <t>New England REZ Network Infrastructure Project</t>
        </is>
      </c>
      <c r="B73" s="5" t="inlineStr">
        <is>
          <t>warning</t>
        </is>
      </c>
      <c r="C73" s="5" t="inlineStr">
        <is>
          <t>PRICE_BASIS_UNKNOWN</t>
        </is>
      </c>
      <c r="D73" s="5" t="inlineStr">
        <is>
          <t>None of the archived cost observations states a dollar year: the 2024 ISP option costs, the 2022 ISP $1.9bn estimate and the EnergyCo 2023 portfolio estimate all lack a price basis.</t>
        </is>
      </c>
      <c r="E73" s="5" t="inlineStr">
        <is>
          <t>No real-terms comparison or escalation can be performed between them.</t>
        </is>
      </c>
      <c r="F73" s="5" t="inlineStr">
        <is>
          <t>HUM-AEMO-2024-ISP-A5; HUM-AEMO-2022-ISP; CWO-04</t>
        </is>
      </c>
      <c r="G73" s="5" t="inlineStr">
        <is>
          <t>HUM-AEMO-2024-ISP-A5 p30; HUM-AEMO-2022-ISP p72; CWO-04 p9</t>
        </is>
      </c>
    </row>
    <row r="74">
      <c r="A74" s="5" t="inlineStr">
        <is>
          <t>New England REZ Network Infrastructure Project</t>
        </is>
      </c>
      <c r="B74" s="5" t="inlineStr">
        <is>
          <t>warning</t>
        </is>
      </c>
      <c r="C74" s="5" t="inlineStr">
        <is>
          <t>SCOPE_TRANSFER</t>
        </is>
      </c>
      <c r="D74" s="5" t="inlineStr">
        <is>
          <t>The NIP scope has been revised since the 2024 ISP: two modelled parts consolidated into one part (CNSW-NNSW Option 1) and the scope extended to Northern Hub with an additional 170 km.</t>
        </is>
      </c>
      <c r="E74" s="5" t="inlineStr">
        <is>
          <t>The 2024 option costs, capacities and timings describe a different scope. Any comparison across ISP vintages must state the scope change first.</t>
        </is>
      </c>
      <c r="F74" s="5" t="inlineStr">
        <is>
          <t>HUM-AEMO-2026-ISP-A5; HUM-AEMO-2024-ISP-A5</t>
        </is>
      </c>
      <c r="G74" s="5" t="inlineStr">
        <is>
          <t>HUM-AEMO-2026-ISP-A5 pp12, 30; HUM-AEMO-2024-ISP-A5 pp30-31</t>
        </is>
      </c>
    </row>
    <row r="75">
      <c r="A75" s="5" t="inlineStr">
        <is>
          <t>New England REZ Network Infrastructure Project</t>
        </is>
      </c>
      <c r="B75" s="5" t="inlineStr">
        <is>
          <t>warning</t>
        </is>
      </c>
      <c r="C75" s="5" t="inlineStr">
        <is>
          <t>OUTTURN_UNKNOWN</t>
        </is>
      </c>
      <c r="D75" s="5" t="inlineStr">
        <is>
          <t>No AER determination, authorisation, construction contract or outturn cost for the NIP was captured, and the project is anticipated rather than committed.</t>
        </is>
      </c>
      <c r="E75" s="5" t="inlineStr">
        <is>
          <t>Every monetary and length figure remains a planner or strategy estimate; none is a delivered cost.</t>
        </is>
      </c>
      <c r="F75" s="5" t="inlineStr">
        <is>
          <t>HUM-AEMO-2026-ISP-A5</t>
        </is>
      </c>
      <c r="G75" s="5" t="inlineStr">
        <is>
          <t>HUM-AEMO-2026-ISP-A5 pp30-31</t>
        </is>
      </c>
    </row>
    <row r="76">
      <c r="A76" s="5" t="inlineStr">
        <is>
          <t>New England REZ Network Infrastructure Project</t>
        </is>
      </c>
      <c r="B76" s="5" t="inlineStr">
        <is>
          <t>warning</t>
        </is>
      </c>
      <c r="C76" s="5" t="inlineStr">
        <is>
          <t>MONITOR_LATER</t>
        </is>
      </c>
      <c r="D76" s="5" t="inlineStr">
        <is>
          <t>AEMO states the final scope and cost is subject to the outcome of EnergyCo's competitive procurement of a network operator, and a development finance entity procurement has commenced.</t>
        </is>
      </c>
      <c r="E76" s="5" t="inlineStr">
        <is>
          <t>Hub count, transformer schedule, route length and cost may all change on procurement award; re-check after the operator is appointed.</t>
        </is>
      </c>
      <c r="F76" s="5" t="inlineStr">
        <is>
          <t>HUM-AEMO-2026-ISP-A5</t>
        </is>
      </c>
      <c r="G76" s="5" t="inlineStr">
        <is>
          <t>HUM-AEMO-2026-ISP-A5 pp30-31, footnote 56</t>
        </is>
      </c>
    </row>
    <row r="77">
      <c r="A77" s="5" t="inlineStr">
        <is>
          <t>New England REZ Network Infrastructure Project</t>
        </is>
      </c>
      <c r="B77" s="5" t="inlineStr">
        <is>
          <t>warning</t>
        </is>
      </c>
      <c r="C77" s="5" t="inlineStr">
        <is>
          <t>AUTHOR_DECISION_REQUIRED</t>
        </is>
      </c>
      <c r="D77" s="5" t="inlineStr">
        <is>
          <t>The circuits (4) and lines (2) cells rest on a one-corridor, two-double-circuit-500-kV-line reading that the archived 2026 ISP does not state; its scope list enumerates five distinct double-circuit lines at 500 kV and 330 kV.</t>
        </is>
      </c>
      <c r="E77" s="5" t="inlineStr">
        <is>
          <t>The author must define the counting boundary (trunk corridor only, or all double-circuit lines in scope) and supply a source for it, or accept the cells as gaps.</t>
        </is>
      </c>
      <c r="F77" s="5" t="inlineStr">
        <is>
          <t>HUM-AEMO-2026-ISP-A5</t>
        </is>
      </c>
      <c r="G77" s="5" t="inlineStr">
        <is>
          <t>HUM-AEMO-2026-ISP-A5 pp31-32</t>
        </is>
      </c>
    </row>
    <row r="78">
      <c r="A78" s="5" t="inlineStr">
        <is>
          <t>New England REZ Network Infrastructure Project</t>
        </is>
      </c>
      <c r="B78" s="5" t="inlineStr">
        <is>
          <t>warning</t>
        </is>
      </c>
      <c r="C78" s="5" t="inlineStr">
        <is>
          <t>AUTHOR_DECISION_REQUIRED</t>
        </is>
      </c>
      <c r="D78" s="5" t="inlineStr">
        <is>
          <t>The syncons_mva (0) and feeder_lines_km (0) cells assert absence, but no archived source states that synchronous condensers or hub-to-project feeder lines are excluded from the NIP scope; they are merely not listed.</t>
        </is>
      </c>
      <c r="E78" s="5" t="inlineStr">
        <is>
          <t>The author must decide whether a zero means 'none in the archived scope list' or 'sourced absence', and label the chart accordingly. AEMO also warns the final scope is subject to procurement.</t>
        </is>
      </c>
      <c r="F78" s="5" t="inlineStr">
        <is>
          <t>HUM-AEMO-2026-ISP-A5</t>
        </is>
      </c>
      <c r="G78" s="5" t="inlineStr">
        <is>
          <t>HUM-AEMO-2026-ISP-A5 pp31-32</t>
        </is>
      </c>
    </row>
    <row r="79">
      <c r="A79" s="5" t="inlineStr">
        <is>
          <t>New England REZ Network Infrastructure Project</t>
        </is>
      </c>
      <c r="B79" s="5" t="inlineStr">
        <is>
          <t>warning</t>
        </is>
      </c>
      <c r="C79" s="5" t="inlineStr">
        <is>
          <t>AUTHOR_DECISION_REQUIRED</t>
        </is>
      </c>
      <c r="D79" s="5" t="inlineStr">
        <is>
          <t>The hubs cell (5) matches the count of hubs named in the archived 2026 ISP scope, but the chart's hub names and voltages come from the unarchived EnergyCo interactive map, and the archived EnergyCo 2023 strategy describes four new substation hubs for the Deliver Now option.</t>
        </is>
      </c>
      <c r="E79" s="5" t="inlineStr">
        <is>
          <t>The author must confirm the hub definition and which source the chart's naming is presented against.</t>
        </is>
      </c>
      <c r="F79" s="5" t="inlineStr">
        <is>
          <t>HUM-AEMO-2026-ISP-A5; CWO-04</t>
        </is>
      </c>
      <c r="G79" s="5" t="inlineStr">
        <is>
          <t>HUM-AEMO-2026-ISP-A5 pp31-32; CWO-04 p11</t>
        </is>
      </c>
    </row>
    <row r="80">
      <c r="A80" s="5" t="inlineStr">
        <is>
          <t>New England REZ Network Infrastructure Project</t>
        </is>
      </c>
      <c r="B80" s="5" t="inlineStr">
        <is>
          <t>warning</t>
        </is>
      </c>
      <c r="C80" s="5" t="inlineStr">
        <is>
          <t>AUTHOR_DECISION_REQUIRED</t>
        </is>
      </c>
      <c r="D80" s="5" t="inlineStr">
        <is>
          <t>alt_routes (0) is an author definition of route redundancy that no source supplies, and its stated basis (shared 140 m corridor with 70 m easements) is from an unarchived report.</t>
        </is>
      </c>
      <c r="E80" s="5" t="inlineStr">
        <is>
          <t>The definition must be published with the chart or the cell withdrawn.</t>
        </is>
      </c>
      <c r="F80" s="5" t="inlineStr"/>
      <c r="G80" s="5" t="inlineStr">
        <is>
          <t>Author note: Bulk Corridor Design Refinement p15 fn1</t>
        </is>
      </c>
    </row>
    <row r="81">
      <c r="A81" s="5" t="inlineStr">
        <is>
          <t>New England REZ Network Infrastructure Project</t>
        </is>
      </c>
      <c r="B81" s="5" t="inlineStr">
        <is>
          <t>warning</t>
        </is>
      </c>
      <c r="C81" s="5" t="inlineStr">
        <is>
          <t>SHARED_ATTRIBUTION</t>
        </is>
      </c>
      <c r="D81" s="5" t="inlineStr">
        <is>
          <t>The 2026 ISP's +1,166 km anticipated-length increase covers the New England REZ NIP and Project Marinus Stage 1 together, and the 2024 Flow path Option 2 capacity assumes downstream limitations are addressed by the Hunter Transmission Project.</t>
        </is>
      </c>
      <c r="E81" s="5" t="inlineStr">
        <is>
          <t>Neither figure can be attributed to the NIP alone; QNI Connect's separate $2,989m cost likewise belongs to that project even though it names the NIP as a pre-requisite.</t>
        </is>
      </c>
      <c r="F81" s="5" t="inlineStr">
        <is>
          <t>HUM-AEMO-2026-ISP-A5; HUM-AEMO-2024-ISP-A5</t>
        </is>
      </c>
      <c r="G81" s="5" t="inlineStr">
        <is>
          <t>HUM-AEMO-2026-ISP-A5 pp12, 63-64; HUM-AEMO-2024-ISP-A5 p30</t>
        </is>
      </c>
    </row>
    <row r="82">
      <c r="A82" s="6" t="inlineStr">
        <is>
          <t>Project EnergyConnect</t>
        </is>
      </c>
      <c r="B82" s="6" t="inlineStr">
        <is>
          <t>blocker</t>
        </is>
      </c>
      <c r="C82" s="6" t="inlineStr">
        <is>
          <t>NON_ADDITIVE_BOUNDARIES</t>
        </is>
      </c>
      <c r="D82" s="6" t="inlineStr">
        <is>
          <t>The only archived owner cost figures are two separate AER contingent-project determinations: ElectraNet (SA) forecast capex $457.4m ($2017-18) and TransGrid (NSW) forecast capex $1,817.9m ($2017-18). They are distinct proceedings, distinct owners and distinct scopes.</t>
        </is>
      </c>
      <c r="E82" s="6" t="inlineStr">
        <is>
          <t>Do not sum them into a project total without proving completeness and a common boundary; no archived source publishes a reconciled whole-project determination total.</t>
        </is>
      </c>
      <c r="F82" s="6" t="inlineStr">
        <is>
          <t>PEC-AER-2021-ELECTRANET-DECISION; PEC-AER-2021-TRANSGRID-DECISION</t>
        </is>
      </c>
      <c r="G82" s="6" t="inlineStr">
        <is>
          <t>PEC-AER-2021-ELECTRANET-DECISION p3; PEC-AER-2021-TRANSGRID-DECISION p3</t>
        </is>
      </c>
    </row>
    <row r="83">
      <c r="A83" s="6" t="inlineStr">
        <is>
          <t>Project EnergyConnect</t>
        </is>
      </c>
      <c r="B83" s="6" t="inlineStr">
        <is>
          <t>blocker</t>
        </is>
      </c>
      <c r="C83" s="6" t="inlineStr">
        <is>
          <t>AUTHOR_DECISION_REQUIRED</t>
        </is>
      </c>
      <c r="D83" s="6" t="inlineStr">
        <is>
          <t>Whether a whole-project cost view for Project EnergyConnect is publishable at all. The archive offers only: a rounded AER descriptive figure of $2.3 billion ($2017-18) at proposal stage; two non-additive owner determinations; an undated-dollar 2020 ISP range of $1,393m-$2,587m; owner proposals; and now TransGrid's February 2026 reopener forecast of $3,628 million (real 2022-23) to complete its NSW component alone, following Contract Failure and pending an AER decision.</t>
        </is>
      </c>
      <c r="E83" s="6" t="inlineStr">
        <is>
          <t>The chart row publishes one cost number for the whole project. The author must decide whether to publish the AER descriptive $2.3 billion ($2017-18) with its basis stated, to publish TransGrid's $3,628m NSW-only reopener forecast with its basis and pending-decision status stated, to publish the owner boundaries separately, or to publish no whole-project cost.</t>
        </is>
      </c>
      <c r="F83" s="6" t="inlineStr">
        <is>
          <t>PEC-AER-2021-TRANSGRID-DECISION; PEC-AER-2021-ELECTRANET-DECISION; HUM-AEMO-2020-ISP-A3; PEC-AER-2026-REOPEN</t>
        </is>
      </c>
      <c r="G83" s="6" t="inlineStr">
        <is>
          <t>PEC-AER-2021-TRANSGRID-DECISION pp3, 8; PEC-AER-2021-ELECTRANET-DECISION pp3, 7; HUM-AEMO-2020-ISP-A3 p27; PEC-AER-2026-REOPEN pp2, 30</t>
        </is>
      </c>
    </row>
    <row r="84">
      <c r="A84" s="6" t="inlineStr">
        <is>
          <t>Project EnergyConnect</t>
        </is>
      </c>
      <c r="B84" s="6" t="inlineStr">
        <is>
          <t>blocker</t>
        </is>
      </c>
      <c r="C84" s="6" t="inlineStr">
        <is>
          <t>CHART_DERIVATION</t>
        </is>
      </c>
      <c r="D84" s="6" t="inlineStr">
        <is>
          <t>The chart's $4.1 billion cost cannot be reproduced from any archived cost figure or combination of them. The only $4.1 billion for PEC anywhere in the archive is Transgrid's claim that EnergyConnect 'generated an estimated $4.1 billion in social value from June 2023 to June 2026'. A newer figure is now archived - TransGrid's February 2026 reopener application states a forecast total capital expenditure to complete PEC (its NSW component) of $3,628 million (real 2022-23), rounded in its cover letter to 'about $3.6 billion' - but this also does not match the chart's $4.1bn cell, is on a different boundary (TransGrid's NSW component only) and basis (real 2022-23, not $2017-18), and is a proponent forecast, not an AER-approved amount.</t>
        </is>
      </c>
      <c r="E84" s="6" t="inlineStr">
        <is>
          <t>A social-value benefit estimate is not capital expenditure. If that is the chart's source, the cost cell and the derived $/km are both on the wrong basis and must not be published as cost. The closest archived capital-cost figure ($3,628m) is neither the chart's $4.1bn nor an approved amount, and covers only TransGrid's NSW component.</t>
        </is>
      </c>
      <c r="F84" s="6" t="inlineStr">
        <is>
          <t>PEC-TG-PROJECT-PAGE; PEC-AER-2021-TRANSGRID-DECISION; PEC-AER-2026-REOPEN</t>
        </is>
      </c>
      <c r="G84" s="6" t="inlineStr">
        <is>
          <t>PEC-TG-PROJECT-PAGE derivative line 1705; PEC-AER-2021-TRANSGRID-DECISION p8; PEC-AER-2026-REOPEN pp2, 30</t>
        </is>
      </c>
    </row>
    <row r="85">
      <c r="A85" s="5" t="inlineStr">
        <is>
          <t>Project EnergyConnect</t>
        </is>
      </c>
      <c r="B85" s="5" t="inlineStr">
        <is>
          <t>warning</t>
        </is>
      </c>
      <c r="C85" s="5" t="inlineStr">
        <is>
          <t>NON_COMPARABLE_SERIES</t>
        </is>
      </c>
      <c r="D85" s="5" t="inlineStr">
        <is>
          <t>The 2020 ISP range (no dollar year stated), the 2020/2021 owner proposals, the 2021 AER determinations ($2017-18) and the 2026 owner social-value claim differ in scope, dollar year, maturity and measure.</t>
        </is>
      </c>
      <c r="E85" s="5" t="inlineStr">
        <is>
          <t>Do not build a cost trend, an escalation percentage or an overrun claim across them.</t>
        </is>
      </c>
      <c r="F85" s="5" t="inlineStr">
        <is>
          <t>HUM-AEMO-2020-ISP-A3; PEC-AER-2020-TRANSGRID-APPLICATION; PEC-AER-2020-ELECTRANET-APPLICATION; PEC-AER-2021-ELECTRANET-DECISION; PEC-AER-2021-TRANSGRID-DECISION; PEC-TG-PROJECT-PAGE</t>
        </is>
      </c>
      <c r="G85" s="5" t="inlineStr">
        <is>
          <t>HUM-AEMO-2020-ISP-A3 p27; PEC-AER-2020-TRANSGRID-APPLICATION p23; PEC-AER-2020-ELECTRANET-APPLICATION p4; PEC-AER-2021-ELECTRANET-DECISION p3; PEC-AER-2021-TRANSGRID-DECISION p3</t>
        </is>
      </c>
    </row>
    <row r="86">
      <c r="A86" s="5" t="inlineStr">
        <is>
          <t>Project EnergyConnect</t>
        </is>
      </c>
      <c r="B86" s="5" t="inlineStr">
        <is>
          <t>warning</t>
        </is>
      </c>
      <c r="C86" s="5" t="inlineStr">
        <is>
          <t>PRICE_BASIS_UNKNOWN</t>
        </is>
      </c>
      <c r="D86" s="5" t="inlineStr">
        <is>
          <t>The AEMO 2020 ISP capital cost estimate of $1,393m-$2,587m states no dollar year in the project entry, and Transgrid's $4.1 billion social-value figure states no price basis.</t>
        </is>
      </c>
      <c r="E86" s="5" t="inlineStr">
        <is>
          <t>These amounts cannot be escalated to, or compared with, the $2017-18 AER figures.</t>
        </is>
      </c>
      <c r="F86" s="5" t="inlineStr">
        <is>
          <t>HUM-AEMO-2020-ISP-A3; PEC-TG-PROJECT-PAGE</t>
        </is>
      </c>
      <c r="G86" s="5" t="inlineStr">
        <is>
          <t>HUM-AEMO-2020-ISP-A3 p27; PEC-TG-PROJECT-PAGE derivative line 1705</t>
        </is>
      </c>
    </row>
    <row r="87">
      <c r="A87" s="5" t="inlineStr">
        <is>
          <t>Project EnergyConnect</t>
        </is>
      </c>
      <c r="B87" s="5" t="inlineStr">
        <is>
          <t>warning</t>
        </is>
      </c>
      <c r="C87" s="5" t="inlineStr">
        <is>
          <t>OUTTURN_UNKNOWN</t>
        </is>
      </c>
      <c r="D87" s="5" t="inlineStr">
        <is>
          <t>No final cost report or as-built outturn for either owner boundary was captured. Transgrid's June 2026 completion release states the 700 km NSW section construction is complete and Stage 2 is being energised ahead of AEMO's inter-network testing, but states no actual cost. TransGrid's February 2026 reopener application discloses a construction contract failure (Contract Failure, recognised 25 October 2023) and a resulting forecast - not outturn - cost of $3,628 million (real 2022-23) to complete its NSW component; the AER had not decided this reopener as at the 2026-09-03 research cutoff, and the AER's own ex post review of the remaining overspend is still to come.</t>
        </is>
      </c>
      <c r="E87" s="5" t="inlineStr">
        <is>
          <t>Every monetary value in this pack is a forecast, allowance or proposal, including the new $3,628m figure. Do not present any of them as what Project EnergyConnect cost, and do not present the reopener amount as AER-approved.</t>
        </is>
      </c>
      <c r="F87" s="5" t="inlineStr">
        <is>
          <t>HUM-AEMO-2026-ISP-A5; PEC-TG-PROJECT-PAGE; PEC-AER-2026-REOPEN; PEC-TG-2026-COMPLETION</t>
        </is>
      </c>
      <c r="G87" s="5" t="inlineStr">
        <is>
          <t>HUM-AEMO-2026-ISP-A5 pp16-17; PEC-TG-PROJECT-PAGE derivative lines 1206, 1500-1514; PEC-AER-2026-REOPEN pp2, 6, 30; PEC-TG-2026-COMPLETION derivative lines 161-166</t>
        </is>
      </c>
    </row>
    <row r="88">
      <c r="A88" s="5" t="inlineStr">
        <is>
          <t>Project EnergyConnect</t>
        </is>
      </c>
      <c r="B88" s="5" t="inlineStr">
        <is>
          <t>warning</t>
        </is>
      </c>
      <c r="C88" s="5" t="inlineStr">
        <is>
          <t>CONTRADICTION</t>
        </is>
      </c>
      <c r="D88" s="5" t="inlineStr">
        <is>
          <t>AEMO's 2026 ISP states Stage 2 is committed for November 2027; Transgrid's own project page (captured 2026-09-02) states construction and initial energisation are complete and integration into the NEM is due by the end of 2026.</t>
        </is>
      </c>
      <c r="E88" s="5" t="inlineStr">
        <is>
          <t>Record both; do not resolve. The chart's 2027 date follows AEMO, not the owner.</t>
        </is>
      </c>
      <c r="F88" s="5" t="inlineStr">
        <is>
          <t>HUM-AEMO-2026-ISP-A5; PEC-TG-PROJECT-PAGE</t>
        </is>
      </c>
      <c r="G88" s="5" t="inlineStr">
        <is>
          <t>HUM-AEMO-2026-ISP-A5 p16; PEC-TG-PROJECT-PAGE derivative line 1206</t>
        </is>
      </c>
    </row>
    <row r="89">
      <c r="A89" s="5" t="inlineStr">
        <is>
          <t>Project EnergyConnect</t>
        </is>
      </c>
      <c r="B89" s="5" t="inlineStr">
        <is>
          <t>warning</t>
        </is>
      </c>
      <c r="C89" s="5" t="inlineStr">
        <is>
          <t>CONTRADICTION</t>
        </is>
      </c>
      <c r="D89" s="5" t="inlineStr">
        <is>
          <t>AEMO's 2026 ISP states Stage 1 (Robertstown via Bundey to Buronga) was completed in late 2024. Transgrid's June 2026 completion release instead states 'the first stage of the project, a 160km line from the South Australian border to Buronga and into Victoria, became operational last year' - i.e. 2025, not late 2024.</t>
        </is>
      </c>
      <c r="E89" s="5" t="inlineStr">
        <is>
          <t>Record both; do not resolve. The two sources also describe Stage 1's boundary differently (Robertstown-via-Bundey-to-Buronga versus SA border-to-Buronga-and-into-Victoria).</t>
        </is>
      </c>
      <c r="F89" s="5" t="inlineStr">
        <is>
          <t>HUM-AEMO-2026-ISP-A5; PEC-TG-2026-COMPLETION</t>
        </is>
      </c>
      <c r="G89" s="5" t="inlineStr">
        <is>
          <t>HUM-AEMO-2026-ISP-A5 p16; PEC-TG-2026-COMPLETION derivative line 162</t>
        </is>
      </c>
    </row>
    <row r="90">
      <c r="A90" s="5" t="inlineStr">
        <is>
          <t>Project EnergyConnect</t>
        </is>
      </c>
      <c r="B90" s="5" t="inlineStr">
        <is>
          <t>warning</t>
        </is>
      </c>
      <c r="C90" s="5" t="inlineStr">
        <is>
          <t>AUTHOR_DECISION_REQUIRED</t>
        </is>
      </c>
      <c r="D90" s="5" t="inlineStr">
        <is>
          <t>There is no sourced definition of a PEC 'trunk'. The archive states 900 km whole-route (also given by the joint project page), 700 km NSW section (Transgrid's completion release and the joint page), 135 km (SA border-Buronga, 330 kV), 375 km (Buronga-Dinawan, 330 kV), 165 km (Dinawan-Wagga Wagga, built 500 kV, operated 330 kV), 540 km (Stage 2, Buronga-Wagga Wagga), 160 km (Stage 1, SA border-Buronga and into Victoria) and about 22 km of 220 kV upgrade. No archived source states the South Australian route length.</t>
        </is>
      </c>
      <c r="E90" s="5" t="inlineStr">
        <is>
          <t>The chart's 160 km now matches Transgrid's own stated Stage 1 length exactly, but that is a different boundary (SA border-Buronga plus the Victorian spur) from the previously closest match, the 165 km Dinawan-Wagga Wagga section. The author must define which sections constitute the trunk before any km or $/km is published.</t>
        </is>
      </c>
      <c r="F90" s="5" t="inlineStr">
        <is>
          <t>PEC-TG-PROJECT-PAGE; PEC-TG-2026-COMPLETION; PEC-JOINT-2026-PROJECT-PAGE</t>
        </is>
      </c>
      <c r="G90" s="5" t="inlineStr">
        <is>
          <t>PEC-TG-PROJECT-PAGE derivative lines 1207, 1262, 1327; PEC-TG-2026-COMPLETION derivative lines 161-166; PEC-JOINT-2026-PROJECT-PAGE derivative lines 20, 69</t>
        </is>
      </c>
    </row>
    <row r="91">
      <c r="A91" s="5" t="inlineStr">
        <is>
          <t>Project EnergyConnect</t>
        </is>
      </c>
      <c r="B91" s="5" t="inlineStr">
        <is>
          <t>warning</t>
        </is>
      </c>
      <c r="C91" s="5" t="inlineStr">
        <is>
          <t>AUTHOR_DECISION_REQUIRED</t>
        </is>
      </c>
      <c r="D91" s="5" t="inlineStr">
        <is>
          <t>alt_routes, hubs and a project-wide 'lines' count are author definitions. No archived source counts alternative routes, hubs, or a single number of lines for Project EnergyConnect.</t>
        </is>
      </c>
      <c r="E91" s="5" t="inlineStr">
        <is>
          <t>The chart's 0 alternative routes, 0 hubs and 1 line must be labelled as author definitions, not sourced facts.</t>
        </is>
      </c>
      <c r="F91" s="5" t="inlineStr">
        <is>
          <t>HUM-AEMO-2024-ISP-A5; HUM-AEMO-2026-ISP-A5</t>
        </is>
      </c>
      <c r="G91" s="5" t="inlineStr">
        <is>
          <t>HUM-AEMO-2024-ISP-A5 pp17-18; HUM-AEMO-2026-ISP-A5 p16</t>
        </is>
      </c>
    </row>
    <row r="92">
      <c r="A92" s="5" t="inlineStr">
        <is>
          <t>Project EnergyConnect</t>
        </is>
      </c>
      <c r="B92" s="5" t="inlineStr">
        <is>
          <t>warning</t>
        </is>
      </c>
      <c r="C92" s="5" t="inlineStr">
        <is>
          <t>SHARED_ATTRIBUTION</t>
        </is>
      </c>
      <c r="D92" s="5" t="inlineStr">
        <is>
          <t>Project EnergyConnect is jointly constructed and operated by ElectraNet (South Australia) and TransGrid (New South Wales), with a spur to Victoria at Red Cliffs, and the AEMO scope list is 'provided by ElectraNet and Transgrid'.</t>
        </is>
      </c>
      <c r="E92" s="5" t="inlineStr">
        <is>
          <t>Owner-sourced counts (km, syncons, transformers) from Transgrid's page cover NSW works only and understate the project.</t>
        </is>
      </c>
      <c r="F92" s="5" t="inlineStr">
        <is>
          <t>PEC-AER-2021-ELECTRANET-DECISION; HUM-AEMO-2024-ISP-A5; PEC-TG-PROJECT-PAGE</t>
        </is>
      </c>
      <c r="G92" s="5" t="inlineStr">
        <is>
          <t>PEC-AER-2021-ELECTRANET-DECISION p3; HUM-AEMO-2024-ISP-A5 p18; PEC-TG-PROJECT-PAGE derivative lines 1245, 1310</t>
        </is>
      </c>
    </row>
    <row r="93">
      <c r="A93" s="5" t="inlineStr">
        <is>
          <t>Project EnergyConnect</t>
        </is>
      </c>
      <c r="B93" s="5" t="inlineStr">
        <is>
          <t>warning</t>
        </is>
      </c>
      <c r="C93" s="5" t="inlineStr">
        <is>
          <t>NON_COMPARABLE_SERIES</t>
        </is>
      </c>
      <c r="D93" s="5" t="inlineStr">
        <is>
          <t>Capacity is presented differently across ISPs: 2020 gives +800 MW SA-NSW for the whole project; 2024 gives Stage 1 150 MW and Stage 2 800 MW; 2026 gives Stage 1 150 MW complete, a Stage 2 increment of 650 MW, and 800 MW in both directions after completion. REZ network limits are a separate measure again.</t>
        </is>
      </c>
      <c r="E93" s="5" t="inlineStr">
        <is>
          <t>Do not add stage figures, and do not add REZ limits to interconnector capability. No archived source states 2.2 GW for PEC on any boundary.</t>
        </is>
      </c>
      <c r="F93" s="5" t="inlineStr">
        <is>
          <t>HUM-AEMO-2020-ISP-A3; HUM-AEMO-2024-ISP-A5; HUM-AEMO-2026-ISP-A5</t>
        </is>
      </c>
      <c r="G93" s="5" t="inlineStr">
        <is>
          <t>HUM-AEMO-2020-ISP-A3 p27; HUM-AEMO-2024-ISP-A5 p17; HUM-AEMO-2026-ISP-A5 p16</t>
        </is>
      </c>
    </row>
    <row r="94">
      <c r="A94" s="5" t="inlineStr">
        <is>
          <t>Sydney Ring South (Reinforcing Sydney, Newcastle and Wollongong Supply)</t>
        </is>
      </c>
      <c r="B94" s="5" t="inlineStr">
        <is>
          <t>warning</t>
        </is>
      </c>
      <c r="C94" s="5" t="inlineStr">
        <is>
          <t>SOURCE_UNAVAILABLE</t>
        </is>
      </c>
      <c r="D94" s="5" t="inlineStr">
        <is>
          <t>AEMO's 2025 Electricity Network Options Report is not archived: the exact PDF returned HTTP 403 and the consultation index HTTP 404 (manifest rows SRS-AEMO-ENOR-DIRECT, SRS-AEMO-ENOR-INDEX).</t>
        </is>
      </c>
      <c r="E94" s="5" t="inlineStr">
        <is>
          <t>The stage definitions behind footnote 87 and the origin of the $2,621 million modelled cost cannot be inspected at source.</t>
        </is>
      </c>
      <c r="F94" s="5" t="inlineStr">
        <is>
          <t>HUM-AEMO-2026-ISP-A5</t>
        </is>
      </c>
      <c r="G94" s="5" t="inlineStr">
        <is>
          <t>HUM-AEMO-2026-ISP-A5 pp43–44 (footnotes 85, 87); manifest rows SRS-AEMO-ENOR-DIRECT, SRS-AEMO-ENOR-INDEX</t>
        </is>
      </c>
    </row>
    <row r="95">
      <c r="A95" s="5" t="inlineStr">
        <is>
          <t>Sydney Ring South (Reinforcing Sydney, Newcastle and Wollongong Supply)</t>
        </is>
      </c>
      <c r="B95" s="5" t="inlineStr">
        <is>
          <t>warning</t>
        </is>
      </c>
      <c r="C95" s="5" t="inlineStr">
        <is>
          <t>SOURCE_UNAVAILABLE</t>
        </is>
      </c>
      <c r="D95" s="5" t="inlineStr">
        <is>
          <t>No NSW planning approval, authorisation, feedback-loop or AER decision record for Sydney Ring South was located; this remains a prose gap with no discovery row.</t>
        </is>
      </c>
      <c r="E95" s="5" t="inlineStr">
        <is>
          <t>Approval status, conditions and any final investment decision are unknown; nothing in this pack establishes commencement.</t>
        </is>
      </c>
      <c r="F95" s="5" t="inlineStr"/>
      <c r="G95" s="5" t="inlineStr">
        <is>
          <t>research/discovery/sydney-ring-south.md, Gaps section</t>
        </is>
      </c>
    </row>
    <row r="96">
      <c r="A96" s="6" t="inlineStr">
        <is>
          <t>Sydney Ring South (Reinforcing Sydney, Newcastle and Wollongong Supply)</t>
        </is>
      </c>
      <c r="B96" s="6" t="inlineStr">
        <is>
          <t>blocker</t>
        </is>
      </c>
      <c r="C96" s="6" t="inlineStr">
        <is>
          <t>AUTHOR_DECISION_REQUIRED</t>
        </is>
      </c>
      <c r="D96" s="6" t="inlineStr">
        <is>
          <t>Two archived cost figures exist for this row on different bases: the AEMO-modelled $2,621m ($2025, both options combined) and Transgrid's own PADR Option 6 total of $3,519m (nominal, staged $1,135m then $2,384m). The chart's $3.510bn matches neither basis and is a transcription of $3,519m.</t>
        </is>
      </c>
      <c r="E96" s="6" t="inlineStr">
        <is>
          <t>The author must choose which basis the chart publishes ($2025 modelled or nominal PADR) and correct the transcription; the pack neither converts between price bases nor treats the difference as growth.</t>
        </is>
      </c>
      <c r="F96" s="6" t="inlineStr">
        <is>
          <t>HUM-AEMO-2026-ISP-A5; SRS-TG-2026-PADR</t>
        </is>
      </c>
      <c r="G96" s="6" t="inlineStr">
        <is>
          <t>HUM-AEMO-2026-ISP-A5 p43 (footnote 85); SRS-TG-2026-PADR p38</t>
        </is>
      </c>
    </row>
    <row r="97">
      <c r="A97" s="5" t="inlineStr">
        <is>
          <t>Sydney Ring South (Reinforcing Sydney, Newcastle and Wollongong Supply)</t>
        </is>
      </c>
      <c r="B97" s="5" t="inlineStr">
        <is>
          <t>warning</t>
        </is>
      </c>
      <c r="C97" s="5" t="inlineStr">
        <is>
          <t>CONTRADICTION</t>
        </is>
      </c>
      <c r="D97" s="5" t="inlineStr">
        <is>
          <t>The chart notes cite $3.510 billion for PADR Option 6. Transgrid's own PADR, now archived, states Option 6's total capital cost as $3,519 million (nominal), confirming the archived AEMO quotation of the same figure; the chart value matches neither this total nor AEMO's separately archived $2,621 million ($2025) modelled total for the same two options combined.</t>
        </is>
      </c>
      <c r="E97" s="5" t="inlineStr">
        <is>
          <t>The $3.510bn is a transcription of $3,519m (last two digits transposed), not a distinct sourced figure; it also does not match the AEMO-modelled total on a different price basis. Both must be resolved before publication.</t>
        </is>
      </c>
      <c r="F97" s="5" t="inlineStr">
        <is>
          <t>SRS-TG-2026-PADR; HUM-AEMO-2026-ISP-A5</t>
        </is>
      </c>
      <c r="G97" s="5" t="inlineStr">
        <is>
          <t>SRS-TG-2026-PADR p38; HUM-AEMO-2026-ISP-A5 p43 (footnote 85)</t>
        </is>
      </c>
    </row>
    <row r="98">
      <c r="A98" s="5" t="inlineStr">
        <is>
          <t>Sydney Ring South (Reinforcing Sydney, Newcastle and Wollongong Supply)</t>
        </is>
      </c>
      <c r="B98" s="5" t="inlineStr">
        <is>
          <t>warning</t>
        </is>
      </c>
      <c r="C98" s="5" t="inlineStr">
        <is>
          <t>AUTHOR_DECISION_REQUIRED</t>
        </is>
      </c>
      <c r="D98" s="5" t="inlineStr">
        <is>
          <t>The chart records 1 alternative route. No archived source counts alternative routes; the claim rests on the author's reading of PADR Figure 2.5 and on geographic diversity through the Sydney Ring.</t>
        </is>
      </c>
      <c r="E98" s="5" t="inlineStr">
        <is>
          <t>alt_routes is an author judgment. Shared South Creek and Sydney West interfaces and rebuilds of existing lines do not establish independent route security.</t>
        </is>
      </c>
      <c r="F98" s="5" t="inlineStr"/>
      <c r="G98" s="5" t="inlineStr">
        <is>
          <t>Policy Paper table notes, Sydney Ring South, Alt Routes; research/sydney-ring-south-source-chain.md</t>
        </is>
      </c>
    </row>
    <row r="99">
      <c r="A99" s="5" t="inlineStr">
        <is>
          <t>Sydney Ring South (Reinforcing Sydney, Newcastle and Wollongong Supply)</t>
        </is>
      </c>
      <c r="B99" s="5" t="inlineStr">
        <is>
          <t>warning</t>
        </is>
      </c>
      <c r="C99" s="5" t="inlineStr">
        <is>
          <t>AUTHOR_DECISION_REQUIRED</t>
        </is>
      </c>
      <c r="D99" s="5" t="inlineStr">
        <is>
          <t>The chart's 114 km trunk length is now archived, matching Transgrid's 2023 preparatory-activities estimate for the Bannaby-South Creek line exactly, but Transgrid's later 2026 PADR instead describes the (differently scoped) Bannaby-South Western Sydney line as extending to around 100 km.</t>
        </is>
      </c>
      <c r="E99" s="5" t="inlineStr">
        <is>
          <t>The author must decide which vintage and boundary the trunk_km cell represents: the 2023 preparatory estimate (114 km, matches the chart) or the current 2026 PADR estimate (around 100 km).</t>
        </is>
      </c>
      <c r="F99" s="5" t="inlineStr">
        <is>
          <t>SRS-TG-2023-SOUTHERN-RING; SRS-TG-2026-PADR</t>
        </is>
      </c>
      <c r="G99" s="5" t="inlineStr">
        <is>
          <t>SRS-TG-2023-SOUTHERN-RING p8; SRS-TG-2026-PADR p43</t>
        </is>
      </c>
    </row>
    <row r="100">
      <c r="A100" s="5" t="inlineStr">
        <is>
          <t>Sydney Ring South (Reinforcing Sydney, Newcastle and Wollongong Supply)</t>
        </is>
      </c>
      <c r="B100" s="5" t="inlineStr">
        <is>
          <t>warning</t>
        </is>
      </c>
      <c r="C100" s="5" t="inlineStr">
        <is>
          <t>AUTHOR_DECISION_REQUIRED</t>
        </is>
      </c>
      <c r="D100" s="5" t="inlineStr">
        <is>
          <t>The chart's 2034 date is the author's calendar proxy for the 2033-34 financial year and covers only Stage 2; the power flow control option is timed at July 2030 and the PADR places the South Creek substation in 2030-31.</t>
        </is>
      </c>
      <c r="E100" s="5" t="inlineStr">
        <is>
          <t>The author must state which stage and which calendar convention the date cell represents.</t>
        </is>
      </c>
      <c r="F100" s="5" t="inlineStr">
        <is>
          <t>HUM-AEMO-2026-ISP-A5</t>
        </is>
      </c>
      <c r="G100" s="5" t="inlineStr">
        <is>
          <t>HUM-AEMO-2026-ISP-A5 pp43–44 (footnote 87)</t>
        </is>
      </c>
    </row>
    <row r="101">
      <c r="A101" s="5" t="inlineStr">
        <is>
          <t>Sydney Ring South (Reinforcing Sydney, Newcastle and Wollongong Supply)</t>
        </is>
      </c>
      <c r="B101" s="5" t="inlineStr">
        <is>
          <t>warning</t>
        </is>
      </c>
      <c r="C101" s="5" t="inlineStr">
        <is>
          <t>CHART_DERIVATION</t>
        </is>
      </c>
      <c r="D101" s="5" t="inlineStr">
        <is>
          <t>The millions-per-trunk-km cell (30.70) is 3,510 divided by 114. The 114 km is now archived (2023 Southern Ring document), but 3,510 does not match any archived cost figure -- the archived PADR Option 6 total is $3,519 million, not $3,510 million.</t>
        </is>
      </c>
      <c r="E101" s="5" t="inlineStr">
        <is>
          <t>The ratio's cost input remains an unverified transcription and cannot be validated against any archived source; recomputing with the archived $3,519 million would give a different ratio.</t>
        </is>
      </c>
      <c r="F101" s="5" t="inlineStr"/>
      <c r="G101" s="5" t="inlineStr">
        <is>
          <t>Policy Paper Chart.xlsx Sheet1, Sydney Ring South row</t>
        </is>
      </c>
    </row>
    <row r="102">
      <c r="A102" s="5" t="inlineStr">
        <is>
          <t>Sydney Ring South (Reinforcing Sydney, Newcastle and Wollongong Supply)</t>
        </is>
      </c>
      <c r="B102" s="5" t="inlineStr">
        <is>
          <t>warning</t>
        </is>
      </c>
      <c r="C102" s="5" t="inlineStr">
        <is>
          <t>NON_ADDITIVE_BOUNDARIES</t>
        </is>
      </c>
      <c r="D102" s="5" t="inlineStr">
        <is>
          <t>The power flow control option and the 500 kV transmission option have distinct costs, capacities and timings; the 7 km rebuild and approx. 7 km reconductoring are works on existing lines inside the 500 kV option.</t>
        </is>
      </c>
      <c r="E102" s="5" t="inlineStr">
        <is>
          <t>Do not add the component lengths, do not treat them as trunk route length, and do not add option capacities (power flow control is 0 MW forward).</t>
        </is>
      </c>
      <c r="F102" s="5" t="inlineStr">
        <is>
          <t>HUM-AEMO-2026-ISP-A5</t>
        </is>
      </c>
      <c r="G102" s="5" t="inlineStr">
        <is>
          <t>HUM-AEMO-2026-ISP-A5 pp43–44</t>
        </is>
      </c>
    </row>
    <row r="103">
      <c r="A103" s="5" t="inlineStr">
        <is>
          <t>Sydney Ring South (Reinforcing Sydney, Newcastle and Wollongong Supply)</t>
        </is>
      </c>
      <c r="B103" s="5" t="inlineStr">
        <is>
          <t>warning</t>
        </is>
      </c>
      <c r="C103" s="5" t="inlineStr">
        <is>
          <t>NON_COMPARABLE_SERIES</t>
        </is>
      </c>
      <c r="D103" s="5" t="inlineStr">
        <is>
          <t>The 2024 Option 2d amount ($221m, $2022-23, Class 5b), the 2026 $2025 amounts ($261m, $2,360m, $2,621m) and the nominal PADR amounts ($3,353m–$4,915m) differ in scope, price basis and maturity.</t>
        </is>
      </c>
      <c r="E103" s="5" t="inlineStr">
        <is>
          <t>Do not build a cost series, compute growth, or describe any difference as an overrun.</t>
        </is>
      </c>
      <c r="F103" s="5" t="inlineStr">
        <is>
          <t>HUM-AEMO-2024-ISP-A5; HUM-AEMO-2026-ISP-A5</t>
        </is>
      </c>
      <c r="G103" s="5" t="inlineStr">
        <is>
          <t>HUM-AEMO-2024-ISP-A5 pp26–28; HUM-AEMO-2026-ISP-A5 p43</t>
        </is>
      </c>
    </row>
    <row r="104">
      <c r="A104" s="5" t="inlineStr">
        <is>
          <t>Sydney Ring South (Reinforcing Sydney, Newcastle and Wollongong Supply)</t>
        </is>
      </c>
      <c r="B104" s="5" t="inlineStr">
        <is>
          <t>warning</t>
        </is>
      </c>
      <c r="C104" s="5" t="inlineStr">
        <is>
          <t>CONTRADICTION</t>
        </is>
      </c>
      <c r="D104" s="5" t="inlineStr">
        <is>
          <t>AEMO's ODP delivers both stages in 2033-34, while Transgrid's PADR places the South Creek 500/330 kV substation in 2030-31 alongside the power flow control solution.</t>
        </is>
      </c>
      <c r="E104" s="5" t="inlineStr">
        <is>
          <t>Staging is unsettled; the 2025 ENOR stage definitions that would resolve it are unavailable.</t>
        </is>
      </c>
      <c r="F104" s="5" t="inlineStr">
        <is>
          <t>HUM-AEMO-2026-ISP-A5</t>
        </is>
      </c>
      <c r="G104" s="5" t="inlineStr">
        <is>
          <t>HUM-AEMO-2026-ISP-A5 p44 (footnote 87)</t>
        </is>
      </c>
    </row>
    <row r="105">
      <c r="A105" s="5" t="inlineStr">
        <is>
          <t>Sydney Ring South (Reinforcing Sydney, Newcastle and Wollongong Supply)</t>
        </is>
      </c>
      <c r="B105" s="5" t="inlineStr">
        <is>
          <t>warning</t>
        </is>
      </c>
      <c r="C105" s="5" t="inlineStr">
        <is>
          <t>SHARED_ATTRIBUTION</t>
        </is>
      </c>
      <c r="D105" s="5" t="inlineStr">
        <is>
          <t>The Hunter Transmission Project (Sydney Ring North) is a stated prerequisite for the power flow control option and shares the Sydney Ring narrative, but is a separate project under the NSW Electricity Infrastructure Investment Act.</t>
        </is>
      </c>
      <c r="E105" s="5" t="inlineStr">
        <is>
          <t>Do not attribute HTP cost, length, capacity or approvals to the Sydney Ring South row, and do not double-count the ring benefit across both rows.</t>
        </is>
      </c>
      <c r="F105" s="5" t="inlineStr">
        <is>
          <t>HUM-AEMO-2024-ISP-A5; HUM-AEMO-2026-ISP-A5</t>
        </is>
      </c>
      <c r="G105" s="5" t="inlineStr">
        <is>
          <t>HUM-AEMO-2024-ISP-A5 p28; HUM-AEMO-2026-ISP-A5 p43</t>
        </is>
      </c>
    </row>
    <row r="106">
      <c r="A106" s="5" t="inlineStr">
        <is>
          <t>Sydney Ring South (Reinforcing Sydney, Newcastle and Wollongong Supply)</t>
        </is>
      </c>
      <c r="B106" s="5" t="inlineStr">
        <is>
          <t>warning</t>
        </is>
      </c>
      <c r="C106" s="5" t="inlineStr">
        <is>
          <t>OUTTURN_UNKNOWN</t>
        </is>
      </c>
      <c r="D106" s="5" t="inlineStr">
        <is>
          <t>The RIT-T is still at draft (PADR) stage, no feedback-loop confirmation, contingent project application or construction contract was captured.</t>
        </is>
      </c>
      <c r="E106" s="5" t="inlineStr">
        <is>
          <t>Every monetary value in this pack is a planner or proponent estimate, not an outturn.</t>
        </is>
      </c>
      <c r="F106" s="5" t="inlineStr">
        <is>
          <t>HUM-AEMO-2026-ISP-A5</t>
        </is>
      </c>
      <c r="G106" s="5" t="inlineStr">
        <is>
          <t>HUM-AEMO-2026-ISP-A5 p43</t>
        </is>
      </c>
    </row>
    <row r="107">
      <c r="A107" s="5" t="inlineStr">
        <is>
          <t>Sydney Ring South (Reinforcing Sydney, Newcastle and Wollongong Supply)</t>
        </is>
      </c>
      <c r="B107" s="5" t="inlineStr">
        <is>
          <t>warning</t>
        </is>
      </c>
      <c r="C107" s="5" t="inlineStr">
        <is>
          <t>MONITOR_LATER</t>
        </is>
      </c>
      <c r="D107" s="5" t="inlineStr">
        <is>
          <t>Transgrid's PACR, the AEMO feedback-loop notice and any NSW approval will restate cost, staging and route length.</t>
        </is>
      </c>
      <c r="E107" s="5" t="inlineStr">
        <is>
          <t>Re-acquire the PADR and PACR, and revisit trunk_km, cost and date, before publication of a later edition.</t>
        </is>
      </c>
      <c r="F107" s="5" t="inlineStr"/>
      <c r="G107" s="5" t="inlineStr">
        <is>
          <t>research/sydney-ring-south-source-chain.md</t>
        </is>
      </c>
    </row>
    <row r="108">
      <c r="A108" s="6" t="inlineStr">
        <is>
          <t>VNI West (South West NSW REZ component)</t>
        </is>
      </c>
      <c r="B108" s="6" t="inlineStr">
        <is>
          <t>blocker</t>
        </is>
      </c>
      <c r="C108" s="6" t="inlineStr">
        <is>
          <t>CHART_DERIVATION</t>
        </is>
      </c>
      <c r="D108" s="6" t="inlineStr">
        <is>
          <t>The chart's 3.7 cost is half of a whole-interconnector amount: the VNI West (NSW) and VNI West (VIC) rows carry the identical 3.7, and no archived source states a NSW-only cost. The only current whole-VNI figure, $7,600m ($2025, Class 4, two transformers), halves to 3.8, so the halved input cannot be identified in the archive.</t>
        </is>
      </c>
      <c r="E108" s="6" t="inlineStr">
        <is>
          <t>The cell must not be published as a NSW project cost. Either restate it as an explicitly labelled half of the $7,600m whole-project amount or leave it unsourced.</t>
        </is>
      </c>
      <c r="F108" s="6" t="inlineStr">
        <is>
          <t>HUM-AEMO-2026-ISP-A5</t>
        </is>
      </c>
      <c r="G108" s="6" t="inlineStr">
        <is>
          <t>HUM-AEMO-2026-ISP-A5 p52</t>
        </is>
      </c>
    </row>
    <row r="109">
      <c r="A109" s="6" t="inlineStr">
        <is>
          <t>VNI West (South West NSW REZ component)</t>
        </is>
      </c>
      <c r="B109" s="6" t="inlineStr">
        <is>
          <t>blocker</t>
        </is>
      </c>
      <c r="C109" s="6" t="inlineStr">
        <is>
          <t>AUTHOR_DECISION_REQUIRED</t>
        </is>
      </c>
      <c r="D109" s="6" t="inlineStr">
        <is>
          <t>Splitting the bundled $7,600m 'South West NSW REZ + Interconnector' amount into NSW and Victorian halves is an author decision with no source basis.</t>
        </is>
      </c>
      <c r="E109" s="6" t="inlineStr">
        <is>
          <t>The author must decide whether to publish a split at all, and on what stated rule; the pack records no NSW allocation.</t>
        </is>
      </c>
      <c r="F109" s="6" t="inlineStr">
        <is>
          <t>HUM-AEMO-2026-ISP-A5</t>
        </is>
      </c>
      <c r="G109" s="6" t="inlineStr">
        <is>
          <t>HUM-AEMO-2026-ISP-A5 p52</t>
        </is>
      </c>
    </row>
    <row r="110">
      <c r="A110" s="5" t="inlineStr">
        <is>
          <t>VNI West (South West NSW REZ component)</t>
        </is>
      </c>
      <c r="B110" s="5" t="inlineStr">
        <is>
          <t>warning</t>
        </is>
      </c>
      <c r="C110" s="5" t="inlineStr">
        <is>
          <t>AUTHOR_DECISION_REQUIRED</t>
        </is>
      </c>
      <c r="D110" s="5" t="inlineStr">
        <is>
          <t>Attribution of the Dinawan works (500 kV switchyard, the two or three 500/330 kV transformers, and the Dinawan-end reactors brought forward from the Dinawan - Tragowel circuits) between the NSW component and the interconnector is not resolved by any archived source.</t>
        </is>
      </c>
      <c r="E110" s="5" t="inlineStr">
        <is>
          <t>The author must decide which Dinawan elements count as NSW component scope before any NSW-level count or cost is published.</t>
        </is>
      </c>
      <c r="F110" s="5" t="inlineStr">
        <is>
          <t>HUM-AEMO-2026-ISP-A5; HUM-AEMO-2024-ISP-A5</t>
        </is>
      </c>
      <c r="G110" s="5" t="inlineStr">
        <is>
          <t>HUM-AEMO-2026-ISP-A5 pp52-53; HUM-AEMO-2024-ISP-A5 p45</t>
        </is>
      </c>
    </row>
    <row r="111">
      <c r="A111" s="5" t="inlineStr">
        <is>
          <t>VNI West (South West NSW REZ component)</t>
        </is>
      </c>
      <c r="B111" s="5" t="inlineStr">
        <is>
          <t>warning</t>
        </is>
      </c>
      <c r="C111" s="5" t="inlineStr">
        <is>
          <t>AUTHOR_DECISION_REQUIRED</t>
        </is>
      </c>
      <c r="D111" s="5" t="inlineStr">
        <is>
          <t>The NSW/Victoria lifecycle relationship is dual: AEMO states VNI West remains one actionable integrated ISP project and that integrated delivery is more efficient than staging, while categorising the South West NSW REZ component as an actionable NSW project under the Electricity Infrastructure Investment Act 2020 (NSW).</t>
        </is>
      </c>
      <c r="E111" s="5" t="inlineStr">
        <is>
          <t>The author must decide whether the chart treats VNI West (NSW) as a project in its own right or as a component of one project, since the two readings imply different rows.</t>
        </is>
      </c>
      <c r="F111" s="5" t="inlineStr">
        <is>
          <t>HUM-AEMO-2026-ISP-A5</t>
        </is>
      </c>
      <c r="G111" s="5" t="inlineStr">
        <is>
          <t>HUM-AEMO-2026-ISP-A5 pp51-52</t>
        </is>
      </c>
    </row>
    <row r="112">
      <c r="A112" s="5" t="inlineStr">
        <is>
          <t>VNI West (South West NSW REZ component)</t>
        </is>
      </c>
      <c r="B112" s="5" t="inlineStr">
        <is>
          <t>warning</t>
        </is>
      </c>
      <c r="C112" s="5" t="inlineStr">
        <is>
          <t>AUTHOR_DECISION_REQUIRED</t>
        </is>
      </c>
      <c r="D112" s="5" t="inlineStr">
        <is>
          <t>The hubs cell (1) rests on an author definition: no source describes the Dinawan 500 kV switchyard, or any other NSW element, as a hosting hub.</t>
        </is>
      </c>
      <c r="E112" s="5" t="inlineStr">
        <is>
          <t>Publish the hub count only with a stated author definition, or leave the cell blank.</t>
        </is>
      </c>
      <c r="F112" s="5" t="inlineStr">
        <is>
          <t>HUM-AEMO-2026-ISP-A5</t>
        </is>
      </c>
      <c r="G112" s="5" t="inlineStr">
        <is>
          <t>HUM-AEMO-2026-ISP-A5 p52</t>
        </is>
      </c>
    </row>
    <row r="113">
      <c r="A113" s="5" t="inlineStr">
        <is>
          <t>VNI West (South West NSW REZ component)</t>
        </is>
      </c>
      <c r="B113" s="5" t="inlineStr">
        <is>
          <t>warning</t>
        </is>
      </c>
      <c r="C113" s="5" t="inlineStr">
        <is>
          <t>AUTHOR_DECISION_REQUIRED</t>
        </is>
      </c>
      <c r="D113" s="5" t="inlineStr">
        <is>
          <t>The alt_routes cell (0) rests on an author definition. AEMO 2020 assessed Shepparton and Kerang route alternatives and the current alignment was selected as option 5A in May 2023.</t>
        </is>
      </c>
      <c r="E113" s="5" t="inlineStr">
        <is>
          <t>The author must state whether historical or superseded alternatives count before publishing a zero.</t>
        </is>
      </c>
      <c r="F113" s="5" t="inlineStr">
        <is>
          <t>HUM-AEMO-2020-ISP-A3; HUM-AEMO-2026-ISP-A5</t>
        </is>
      </c>
      <c r="G113" s="5" t="inlineStr">
        <is>
          <t>HUM-AEMO-2020-ISP-A3 pp33-36; HUM-AEMO-2026-ISP-A5 p51</t>
        </is>
      </c>
    </row>
    <row r="114">
      <c r="A114" s="5" t="inlineStr">
        <is>
          <t>VNI West (South West NSW REZ component)</t>
        </is>
      </c>
      <c r="B114" s="5" t="inlineStr">
        <is>
          <t>warning</t>
        </is>
      </c>
      <c r="C114" s="5" t="inlineStr">
        <is>
          <t>CONTRADICTION</t>
        </is>
      </c>
      <c r="D114" s="5" t="inlineStr">
        <is>
          <t>The chart states 6,000 MVA of transformers. AEMO 2026 specifies three 500/330 kV 1,500 MVA units at Dinawan and says the $7,600m includes two transformers only; AEMO 2024 specified two such units.</t>
        </is>
      </c>
      <c r="E114" s="5" t="inlineStr">
        <is>
          <t>No archived configuration reaches 6,000 MVA at the stated unit rating; the cell should be corrected or its basis stated.</t>
        </is>
      </c>
      <c r="F114" s="5" t="inlineStr">
        <is>
          <t>HUM-AEMO-2026-ISP-A5; HUM-AEMO-2024-ISP-A5</t>
        </is>
      </c>
      <c r="G114" s="5" t="inlineStr">
        <is>
          <t>HUM-AEMO-2026-ISP-A5 p52; HUM-AEMO-2024-ISP-A5 p45</t>
        </is>
      </c>
    </row>
    <row r="115">
      <c r="A115" s="5" t="inlineStr">
        <is>
          <t>VNI West (South West NSW REZ component)</t>
        </is>
      </c>
      <c r="B115" s="5" t="inlineStr">
        <is>
          <t>warning</t>
        </is>
      </c>
      <c r="C115" s="5" t="inlineStr">
        <is>
          <t>NON_ADDITIVE_BOUNDARIES</t>
        </is>
      </c>
      <c r="D115" s="5" t="inlineStr">
        <is>
          <t>The $116m third-transformer increment is modelled separately above the $7,600m amount, which includes two transformers only; the $7,600m itself bundles the South West NSW REZ with the interconnector and contains $565m of approved early works and other incurred costs excluded from the ISP CBA.</t>
        </is>
      </c>
      <c r="E115" s="5" t="inlineStr">
        <is>
          <t>Do not form $7,716m, do not net out the $565m, and do not treat any portion as a NSW allocation.</t>
        </is>
      </c>
      <c r="F115" s="5" t="inlineStr">
        <is>
          <t>HUM-AEMO-2026-ISP-A5</t>
        </is>
      </c>
      <c r="G115" s="5" t="inlineStr">
        <is>
          <t>HUM-AEMO-2026-ISP-A5 p52 and footnotes 103, 106</t>
        </is>
      </c>
    </row>
    <row r="116">
      <c r="A116" s="5" t="inlineStr">
        <is>
          <t>VNI West (South West NSW REZ component)</t>
        </is>
      </c>
      <c r="B116" s="5" t="inlineStr">
        <is>
          <t>warning</t>
        </is>
      </c>
      <c r="C116" s="5" t="inlineStr">
        <is>
          <t>NON_COMPARABLE_SERIES</t>
        </is>
      </c>
      <c r="D116" s="5" t="inlineStr">
        <is>
          <t>The 2020 cost ranges, the 2024 $3,499m (2020-21 dollars, inclusive of WRL) and $3,614m (real 2023 dollars, WRL removed), and the 2026 $7,600m ($2025, Class 4) differ in route, scope, dollar year and maturity.</t>
        </is>
      </c>
      <c r="E116" s="5" t="inlineStr">
        <is>
          <t>Do not build a revision series or compute growth between them; each is a discrete dated observation.</t>
        </is>
      </c>
      <c r="F116" s="5" t="inlineStr">
        <is>
          <t>HUM-AEMO-2020-ISP-A3; HUM-AEMO-2024-ISP-A5; HUM-AEMO-2026-ISP-A5</t>
        </is>
      </c>
      <c r="G116" s="5" t="inlineStr">
        <is>
          <t>HUM-AEMO-2020-ISP-A3 pp33-36; HUM-AEMO-2024-ISP-A5 p45; HUM-AEMO-2026-ISP-A5 p52</t>
        </is>
      </c>
    </row>
    <row r="117">
      <c r="A117" s="5" t="inlineStr">
        <is>
          <t>VNI West (South West NSW REZ component)</t>
        </is>
      </c>
      <c r="B117" s="5" t="inlineStr">
        <is>
          <t>warning</t>
        </is>
      </c>
      <c r="C117" s="5" t="inlineStr">
        <is>
          <t>SCOPE_TRANSFER</t>
        </is>
      </c>
      <c r="D117" s="5" t="inlineStr">
        <is>
          <t>The 2024 $3,499m is stated to be inclusive of the $315m Western Renewables Link project, and the option included relocating and uprating the WRL terminal station and line; the 2026 $7,600m has a different bundle (South West NSW REZ + Interconnector) with WRL a prerequisite.</t>
        </is>
      </c>
      <c r="E117" s="5" t="inlineStr">
        <is>
          <t>Cross-family double counting is possible against the Western Renewables Link row; boundaries must be stated wherever these figures appear.</t>
        </is>
      </c>
      <c r="F117" s="5" t="inlineStr">
        <is>
          <t>HUM-AEMO-2024-ISP-A5; HUM-AEMO-2026-ISP-A5</t>
        </is>
      </c>
      <c r="G117" s="5" t="inlineStr">
        <is>
          <t>HUM-AEMO-2024-ISP-A5 pp44-45; HUM-AEMO-2026-ISP-A5 p53</t>
        </is>
      </c>
    </row>
    <row r="118">
      <c r="A118" s="5" t="inlineStr">
        <is>
          <t>VNI West (South West NSW REZ component)</t>
        </is>
      </c>
      <c r="B118" s="5" t="inlineStr">
        <is>
          <t>warning</t>
        </is>
      </c>
      <c r="C118" s="5" t="inlineStr">
        <is>
          <t>SHARED_ATTRIBUTION</t>
        </is>
      </c>
      <c r="D118" s="5" t="inlineStr">
        <is>
          <t>The Dinawan - Wagga Wagga - Gugaa circuits being upgraded were built at 500 kV under Project EnergyConnect and HumeLink, both stated prerequisites of the NSW component.</t>
        </is>
      </c>
      <c r="E118" s="5" t="inlineStr">
        <is>
          <t>Circuit, line and km counts attributed to VNI West (NSW) overlap physical assets delivered and costed by other project families.</t>
        </is>
      </c>
      <c r="F118" s="5" t="inlineStr">
        <is>
          <t>HUM-AEMO-2026-ISP-A5</t>
        </is>
      </c>
      <c r="G118" s="5" t="inlineStr">
        <is>
          <t>HUM-AEMO-2026-ISP-A5 pp52-53</t>
        </is>
      </c>
    </row>
    <row r="119">
      <c r="A119" s="5" t="inlineStr">
        <is>
          <t>VNI West (South West NSW REZ component)</t>
        </is>
      </c>
      <c r="B119" s="5" t="inlineStr">
        <is>
          <t>warning</t>
        </is>
      </c>
      <c r="C119" s="5" t="inlineStr">
        <is>
          <t>PRICE_BASIS_UNKNOWN</t>
        </is>
      </c>
      <c r="D119" s="5" t="inlineStr">
        <is>
          <t>The $116m third-transformer increment is published without a stated price basis, and the $225m NSW funding announcement states no price basis or publication date.</t>
        </is>
      </c>
      <c r="E119" s="5" t="inlineStr">
        <is>
          <t>Neither amount may be escalated, deflated or compared with the $2025 $7,600m figure.</t>
        </is>
      </c>
      <c r="F119" s="5" t="inlineStr">
        <is>
          <t>HUM-AEMO-2026-ISP-A5; ATE15-EC-FUND-1</t>
        </is>
      </c>
      <c r="G119" s="5" t="inlineStr">
        <is>
          <t>HUM-AEMO-2026-ISP-A5 p52 footnote 103; ATE15-EC-FUND-1 derivative line 278</t>
        </is>
      </c>
    </row>
    <row r="120">
      <c r="A120" s="5" t="inlineStr">
        <is>
          <t>VNI West (South West NSW REZ component)</t>
        </is>
      </c>
      <c r="B120" s="5" t="inlineStr">
        <is>
          <t>warning</t>
        </is>
      </c>
      <c r="C120" s="5" t="inlineStr">
        <is>
          <t>SOURCE_UNAVAILABLE</t>
        </is>
      </c>
      <c r="D120" s="5" t="inlineStr">
        <is>
          <t>The EnergyCo NSW VNI West project page returned HTTP 404 on both attempted official routes on 2026-09-03.</t>
        </is>
      </c>
      <c r="E120" s="5" t="inlineStr">
        <is>
          <t>The NSW delivery-body account of scope and status is unavailable; only the funding announcement page was captured.</t>
        </is>
      </c>
      <c r="F120" s="5" t="inlineStr">
        <is>
          <t>ATE15-EC-VNIWEST</t>
        </is>
      </c>
      <c r="G120" s="5" t="inlineStr">
        <is>
          <t>sources/vni-west-nsw/manifest.csv row ATE15-EC-VNIWEST</t>
        </is>
      </c>
    </row>
    <row r="121">
      <c r="A121" s="5" t="inlineStr">
        <is>
          <t>VNI West (South West NSW REZ component)</t>
        </is>
      </c>
      <c r="B121" s="5" t="inlineStr">
        <is>
          <t>warning</t>
        </is>
      </c>
      <c r="C121" s="5" t="inlineStr">
        <is>
          <t>SOURCE_UNAVAILABLE</t>
        </is>
      </c>
      <c r="D121" s="5" t="inlineStr">
        <is>
          <t>NSW statutory planning records (NSW Planning Portal major-projects page for VNI West) returned HTTP 404 on both attempted routes on 2026-09-03.</t>
        </is>
      </c>
      <c r="E121" s="5" t="inlineStr">
        <is>
          <t>No NSW planning approval, authorisation or determination may be asserted for the NSW component.</t>
        </is>
      </c>
      <c r="F121" s="5" t="inlineStr">
        <is>
          <t>ATE15-NSW-PLANNING</t>
        </is>
      </c>
      <c r="G121" s="5" t="inlineStr">
        <is>
          <t>sources/vni-west-nsw/manifest.csv row ATE15-NSW-PLANNING</t>
        </is>
      </c>
    </row>
    <row r="122">
      <c r="A122" s="5" t="inlineStr">
        <is>
          <t>VNI West (South West NSW REZ component)</t>
        </is>
      </c>
      <c r="B122" s="5" t="inlineStr">
        <is>
          <t>warning</t>
        </is>
      </c>
      <c r="C122" s="5" t="inlineStr">
        <is>
          <t>OUTTURN_UNKNOWN</t>
        </is>
      </c>
      <c r="D122" s="5" t="inlineStr">
        <is>
          <t>A regulatory determination and its underlying contingent project application are now captured for the NSW component: the AER's May 2024 determination on Transgrid's VNI West Stage 1 early works CPA ($948.8m approved of $1,096.3m proposed). No construction outturn was captured, and the November 2025 Iberdrola contract award is known only through AEMO's narrative.</t>
        </is>
      </c>
      <c r="E122" s="5" t="inlineStr">
        <is>
          <t>The AER determination is a regulatory allowance for stage 1 early works, not a construction outturn; all monetary values in this pack, including the AER amounts, remain proponent estimates or regulatory allowances, not outturn costs.</t>
        </is>
      </c>
      <c r="F122" s="5" t="inlineStr">
        <is>
          <t>HUM-AEMO-2026-ISP-A5; VNN-AER-2024-CPADETERMINATION</t>
        </is>
      </c>
      <c r="G122" s="5" t="inlineStr">
        <is>
          <t>HUM-AEMO-2026-ISP-A5 pp51-52; VNN-AER-2024-CPADETERMINATION pp6-7</t>
        </is>
      </c>
    </row>
    <row r="123">
      <c r="A123" s="5" t="inlineStr">
        <is>
          <t>VNI West (South West NSW REZ component)</t>
        </is>
      </c>
      <c r="B123" s="5" t="inlineStr">
        <is>
          <t>warning</t>
        </is>
      </c>
      <c r="C123" s="5" t="inlineStr">
        <is>
          <t>MONITOR_LATER</t>
        </is>
      </c>
      <c r="D123" s="5" t="inlineStr">
        <is>
          <t>The joint VNI West PADR and PACR are now archived as primary sources (VNV-TRANSGRID-2022-PADR; VNV-TRANSGRID-2023-PACR, shared under sources/vni-west-victoria/manifest.csv), so the RIT-T cost and NSW-length evidence in this pack is no longer secondhand through AEMO alone. The EnergyCo funding page still carries no asserted publication date or funding terms, and the EnergyCo and NSW Planning Portal VNI West project pages remain unavailable (see SOURCE_UNAVAILABLE warnings).</t>
        </is>
      </c>
      <c r="E123" s="5" t="inlineStr">
        <is>
          <t>Re-check when NSW funding terms are published and when the EnergyCo VNI West project page or NSW Planning Portal record become available.</t>
        </is>
      </c>
      <c r="F123" s="5" t="inlineStr">
        <is>
          <t>ATE15-EC-FUND-1; HUM-AEMO-2024-ISP-A5; VNV-TRANSGRID-2022-PADR; VNV-TRANSGRID-2023-PACR</t>
        </is>
      </c>
      <c r="G123" s="5" t="inlineStr">
        <is>
          <t>research/vni-west-nsw-source-chain.md open issues; HUM-AEMO-2024-ISP-A5 p44; VNV-TRANSGRID-2023-PACR p10</t>
        </is>
      </c>
    </row>
    <row r="124">
      <c r="A124" s="5" t="inlineStr">
        <is>
          <t>VNI West (Victoria)</t>
        </is>
      </c>
      <c r="B124" s="5" t="inlineStr">
        <is>
          <t>warning</t>
        </is>
      </c>
      <c r="C124" s="5" t="inlineStr">
        <is>
          <t>CHART_DERIVATION</t>
        </is>
      </c>
      <c r="D124" s="5" t="inlineStr">
        <is>
          <t>The chart's $3.7bn cost cell is not a sourced value: it is half of AEMO's 2026 reported $7,600m ($2025) whole-project figure, with the same 3.7 placed in both the VNI West (VIC) and VNI West (NSW) rows.</t>
        </is>
      </c>
      <c r="E124" s="5" t="inlineStr">
        <is>
          <t>Label the cell derived and show the $7,600m whole-project figure with its boundary; do not present $3.7bn as a Victorian cost or compare it with the 2024 $3,499m/$3,614m observations.</t>
        </is>
      </c>
      <c r="F124" s="5" t="inlineStr">
        <is>
          <t>HUM-AEMO-2026-ISP-A5</t>
        </is>
      </c>
      <c r="G124" s="5" t="inlineStr">
        <is>
          <t>HUM-AEMO-2026-ISP-A5 p52</t>
        </is>
      </c>
    </row>
    <row r="125">
      <c r="A125" s="6" t="inlineStr">
        <is>
          <t>VNI West (Victoria)</t>
        </is>
      </c>
      <c r="B125" s="6" t="inlineStr">
        <is>
          <t>blocker</t>
        </is>
      </c>
      <c r="C125" s="6" t="inlineStr">
        <is>
          <t>AUTHOR_DECISION_REQUIRED</t>
        </is>
      </c>
      <c r="D125" s="6" t="inlineStr">
        <is>
          <t>No archived source publishes a Victoria/NSW allocation of the current (2026 ISP) reported VNI West cost. AEMO's 2026 ISP reports a single integrated project cost spanning 'South West NSW REZ + Interconnector' and explicitly finds integrated delivery more efficient than staging the NSW component. The now-archived PACR and PADR do split their own, earlier (2023 and 2022) preferred-option estimates by state ($1,755m Victoria / $1,744m New South Wales for Option 5A, FY2020-21 dollars; $1,605m Victoria / $1,651m New South Wales for the PADR's superseded Option 1), but these are a different vintage, price basis and RIT-T scope from the 2026 ISP's $7,600m reported total.</t>
        </is>
      </c>
      <c r="E125" s="6" t="inlineStr">
        <is>
          <t>The author must still decide whether to publish a Victoria-only headline cost at all. This pack does not construct one: an even halving of the $7,600m remains an author construction, and substituting the PACR's/PADR's older, RIT-T-vintage Victoria sub-totals for the current chart cell would mix price bases and scopes without a stated basis for doing so.</t>
        </is>
      </c>
      <c r="F125" s="6" t="inlineStr">
        <is>
          <t>HUM-AEMO-2026-ISP-A5; VNV-TRANSGRID-2023-PACR; VNV-TRANSGRID-2022-PADR</t>
        </is>
      </c>
      <c r="G125" s="6" t="inlineStr">
        <is>
          <t>HUM-AEMO-2026-ISP-A5 pp51-52; VNV-TRANSGRID-2023-PACR p88; VNV-TRANSGRID-2022-PADR p95</t>
        </is>
      </c>
    </row>
    <row r="126">
      <c r="A126" s="5" t="inlineStr">
        <is>
          <t>VNI West (Victoria)</t>
        </is>
      </c>
      <c r="B126" s="5" t="inlineStr">
        <is>
          <t>warning</t>
        </is>
      </c>
      <c r="C126" s="5" t="inlineStr">
        <is>
          <t>CHART_DERIVATION</t>
        </is>
      </c>
      <c r="D126" s="5" t="inlineStr">
        <is>
          <t>The chart's 2,000 MVA transformer cell is a sum of the two 500/220 kV 1,000 MVA Tragowel transformers; no source states 2,000 MVA.</t>
        </is>
      </c>
      <c r="E126" s="5" t="inlineStr">
        <is>
          <t>Show the sourced unit rating and count, or mark the cell derived. The 6,000 MVA in the NSW row and this 2,000 MVA are different plant at opposite ends of the same project.</t>
        </is>
      </c>
      <c r="F126" s="5" t="inlineStr">
        <is>
          <t>HUM-AEMO-2026-ISP-A5</t>
        </is>
      </c>
      <c r="G126" s="5" t="inlineStr">
        <is>
          <t>HUM-AEMO-2026-ISP-A5 p53</t>
        </is>
      </c>
    </row>
    <row r="127">
      <c r="A127" s="5" t="inlineStr">
        <is>
          <t>VNI West (Victoria)</t>
        </is>
      </c>
      <c r="B127" s="5" t="inlineStr">
        <is>
          <t>warning</t>
        </is>
      </c>
      <c r="C127" s="5" t="inlineStr">
        <is>
          <t>AUTHOR_DECISION_REQUIRED</t>
        </is>
      </c>
      <c r="D127" s="5" t="inlineStr">
        <is>
          <t>alt_routes = 0 is an author definition; no archived source counts 'alternative routes' the way the chart cell implies. The PADR and PACR are now archived: the PADR assessed Option 1 (preferred) against Option 2 (VTL ahead of VNI West); the PACR assessed Option 5 and Option 5A (preferred) plus two sensitivities, with Options 1, 3 and 3A from the Additional Consultation Report considered and not progressed.</t>
        </is>
      </c>
      <c r="E127" s="5" t="inlineStr">
        <is>
          <t>The author must confirm the definition and decide whether any of these credible options or sensitivities should be counted as 'alt_routes' for the chart; the current zero is not directly supported or contradicted by the newly archived documents.</t>
        </is>
      </c>
      <c r="F127" s="5" t="inlineStr">
        <is>
          <t>VNV-TRANSGRID-2022-PADR; VNV-TRANSGRID-2023-PACR</t>
        </is>
      </c>
      <c r="G127" s="5" t="inlineStr">
        <is>
          <t>VNV-TRANSGRID-2022-PADR pp9-10, 53; VNV-TRANSGRID-2023-PACR pp9-10, 48</t>
        </is>
      </c>
    </row>
    <row r="128">
      <c r="A128" s="5" t="inlineStr">
        <is>
          <t>VNI West (Victoria)</t>
        </is>
      </c>
      <c r="B128" s="5" t="inlineStr">
        <is>
          <t>warning</t>
        </is>
      </c>
      <c r="C128" s="5" t="inlineStr">
        <is>
          <t>AUTHOR_DECISION_REQUIRED</t>
        </is>
      </c>
      <c r="D128" s="5" t="inlineStr">
        <is>
          <t>hubs = 1 is an author count. AEMO's scope names a new Tragowel Terminal Station, a terminal station near Bulgana and the Dinawan 500 kV switchyard without counting hubs.</t>
        </is>
      </c>
      <c r="E128" s="5" t="inlineStr">
        <is>
          <t>The author must confirm which stations count as hubs for the Victorian row before publication.</t>
        </is>
      </c>
      <c r="F128" s="5" t="inlineStr">
        <is>
          <t>HUM-AEMO-2026-ISP-A5</t>
        </is>
      </c>
      <c r="G128" s="5" t="inlineStr">
        <is>
          <t>HUM-AEMO-2026-ISP-A5 p53</t>
        </is>
      </c>
    </row>
    <row r="129">
      <c r="A129" s="5" t="inlineStr">
        <is>
          <t>VNI West (Victoria)</t>
        </is>
      </c>
      <c r="B129" s="5" t="inlineStr">
        <is>
          <t>warning</t>
        </is>
      </c>
      <c r="C129" s="5" t="inlineStr">
        <is>
          <t>NON_COMPARABLE_SERIES</t>
        </is>
      </c>
      <c r="D129" s="5" t="inlineStr">
        <is>
          <t>$3,499m (2020-21 dollars, WRL-inclusive), $3,614m (real 2023 dollars, WRL removed) and $7,600m ($2025, South West NSW REZ + Interconnector) differ in price basis, scope, estimate class and WRL treatment.</t>
        </is>
      </c>
      <c r="E129" s="5" t="inlineStr">
        <is>
          <t>Do not compute an escalation percentage or plot these as a cost series; each is a separate dated observation.</t>
        </is>
      </c>
      <c r="F129" s="5" t="inlineStr">
        <is>
          <t>HUM-AEMO-2024-ISP-A5; HUM-AEMO-2026-ISP-A5</t>
        </is>
      </c>
      <c r="G129" s="5" t="inlineStr">
        <is>
          <t>HUM-AEMO-2024-ISP-A5 p45; HUM-AEMO-2026-ISP-A5 p52</t>
        </is>
      </c>
    </row>
    <row r="130">
      <c r="A130" s="5" t="inlineStr">
        <is>
          <t>VNI West (Victoria)</t>
        </is>
      </c>
      <c r="B130" s="5" t="inlineStr">
        <is>
          <t>warning</t>
        </is>
      </c>
      <c r="C130" s="5" t="inlineStr">
        <is>
          <t>NON_ADDITIVE_BOUNDARIES</t>
        </is>
      </c>
      <c r="D130" s="5" t="inlineStr">
        <is>
          <t>The $565m early works sits inside the $7,600m (and is excluded from the 2026 ISP CBA); the $116m third-transformer increment sits above it; the $315m WRL sits inside the 2024 $3,499m only.</t>
        </is>
      </c>
      <c r="E130" s="5" t="inlineStr">
        <is>
          <t>Do not add these amounts to the reported total or to each other, and do not net the $565m out without saying so.</t>
        </is>
      </c>
      <c r="F130" s="5" t="inlineStr">
        <is>
          <t>HUM-AEMO-2024-ISP-A5; HUM-AEMO-2026-ISP-A5</t>
        </is>
      </c>
      <c r="G130" s="5" t="inlineStr">
        <is>
          <t>HUM-AEMO-2024-ISP-A5 p45; HUM-AEMO-2026-ISP-A5 p52 (footnotes 103, 106)</t>
        </is>
      </c>
    </row>
    <row r="131">
      <c r="A131" s="5" t="inlineStr">
        <is>
          <t>VNI West (Victoria)</t>
        </is>
      </c>
      <c r="B131" s="5" t="inlineStr">
        <is>
          <t>warning</t>
        </is>
      </c>
      <c r="C131" s="5" t="inlineStr">
        <is>
          <t>SHARED_ATTRIBUTION</t>
        </is>
      </c>
      <c r="D131" s="5" t="inlineStr">
        <is>
          <t>VNI West connects to the Western Renewables Link at the terminal station near Bulgana, and WRL's scope change (North Ballarat terminal relocated to Bulgana, 220 kV line uprated to 500 kV) arose from the VNI West PACR and NEVA order. AEMO's 2024 quoted $3,499m is inclusive of $315m of WRL.</t>
        </is>
      </c>
      <c r="E131" s="5" t="inlineStr">
        <is>
          <t>Bulgana works are jointly attributable. Do not double-count Bulgana scope across the VNI West and Western Renewables Link chart rows, and do not add WRL costs to VNI West.</t>
        </is>
      </c>
      <c r="F131" s="5" t="inlineStr">
        <is>
          <t>HUM-AEMO-2024-ISP-A5; HUM-AEMO-2026-ISP-A5</t>
        </is>
      </c>
      <c r="G131" s="5" t="inlineStr">
        <is>
          <t>HUM-AEMO-2024-ISP-A5 pp44-45; HUM-AEMO-2026-ISP-A5 pp24, 51</t>
        </is>
      </c>
    </row>
    <row r="132">
      <c r="A132" s="5" t="inlineStr">
        <is>
          <t>VNI West (Victoria)</t>
        </is>
      </c>
      <c r="B132" s="5" t="inlineStr">
        <is>
          <t>warning</t>
        </is>
      </c>
      <c r="C132" s="5" t="inlineStr">
        <is>
          <t>SCOPE_TRANSFER</t>
        </is>
      </c>
      <c r="D132" s="5" t="inlineStr">
        <is>
          <t>In the 2026 ISP the South West NSW REZ component of VNI West is categorised as an actionable NSW project progressing under the Electricity Infrastructure Investment Act 2020 (NSW) rather than the ISP framework, while its cost remains inside the single reported $7,600m.</t>
        </is>
      </c>
      <c r="E132" s="5" t="inlineStr">
        <is>
          <t>The governance boundary and the cost boundary do not coincide; the NSW row and the Victorian row are drawn from one undivided figure.</t>
        </is>
      </c>
      <c r="F132" s="5" t="inlineStr">
        <is>
          <t>HUM-AEMO-2026-ISP-A5</t>
        </is>
      </c>
      <c r="G132" s="5" t="inlineStr">
        <is>
          <t>HUM-AEMO-2026-ISP-A5 pp51-52 (footnote 104)</t>
        </is>
      </c>
    </row>
    <row r="133">
      <c r="A133" s="5" t="inlineStr">
        <is>
          <t>VNI West (Victoria)</t>
        </is>
      </c>
      <c r="B133" s="5" t="inlineStr">
        <is>
          <t>warning</t>
        </is>
      </c>
      <c r="C133" s="5" t="inlineStr">
        <is>
          <t>PRICE_BASIS_UNKNOWN</t>
        </is>
      </c>
      <c r="D133" s="5" t="inlineStr">
        <is>
          <t>The $565m early works amount and the $116m third-transformer increment are stated without an explicit dollar year in their footnotes.</t>
        </is>
      </c>
      <c r="E133" s="5" t="inlineStr">
        <is>
          <t>Do not assume either shares the $2025 basis of the reported total when comparing or escalating.</t>
        </is>
      </c>
      <c r="F133" s="5" t="inlineStr">
        <is>
          <t>HUM-AEMO-2026-ISP-A5</t>
        </is>
      </c>
      <c r="G133" s="5" t="inlineStr">
        <is>
          <t>HUM-AEMO-2026-ISP-A5 p52 (footnotes 103, 106)</t>
        </is>
      </c>
    </row>
    <row r="134">
      <c r="A134" s="5" t="inlineStr">
        <is>
          <t>VNI West (Victoria)</t>
        </is>
      </c>
      <c r="B134" s="5" t="inlineStr">
        <is>
          <t>warning</t>
        </is>
      </c>
      <c r="C134" s="5" t="inlineStr">
        <is>
          <t>OUTTURN_UNKNOWN</t>
        </is>
      </c>
      <c r="D134" s="5" t="inlineStr">
        <is>
          <t>No approved revenue determination, contract price or construction outturn for VNI West is archived; the most advanced amount is a Class 4 planner-reported total with $565m of incurred costs.</t>
        </is>
      </c>
      <c r="E134" s="5" t="inlineStr">
        <is>
          <t>Every monetary value in this pack is an estimate or a reported total, not an outturn.</t>
        </is>
      </c>
      <c r="F134" s="5" t="inlineStr">
        <is>
          <t>HUM-AEMO-2026-ISP-A5</t>
        </is>
      </c>
      <c r="G134" s="5" t="inlineStr">
        <is>
          <t>HUM-AEMO-2026-ISP-A5 p52</t>
        </is>
      </c>
    </row>
    <row r="135">
      <c r="A135" s="5" t="inlineStr">
        <is>
          <t>VNI West (Victoria)</t>
        </is>
      </c>
      <c r="B135" s="5" t="inlineStr">
        <is>
          <t>warning</t>
        </is>
      </c>
      <c r="C135" s="5" t="inlineStr">
        <is>
          <t>MONITOR_LATER</t>
        </is>
      </c>
      <c r="D135" s="5" t="inlineStr">
        <is>
          <t>Iberdrola's November 2025 award, the EES process and the transfer of Victorian functions to VicGrid are all live and may produce the first Victoria-specific scope or cost record.</t>
        </is>
      </c>
      <c r="E135" s="5" t="inlineStr">
        <is>
          <t>Re-run discovery on VicGrid, vniwproject.com.au and EES channels before the next publication; the current gap may close.</t>
        </is>
      </c>
      <c r="F135" s="5" t="inlineStr">
        <is>
          <t>HUM-AEMO-2026-ISP-A5</t>
        </is>
      </c>
      <c r="G135" s="5" t="inlineStr">
        <is>
          <t>HUM-AEMO-2026-ISP-A5 pp51-52</t>
        </is>
      </c>
    </row>
    <row r="136">
      <c r="A136" s="5" t="inlineStr">
        <is>
          <t>VNI West (Victoria)</t>
        </is>
      </c>
      <c r="B136" s="5" t="inlineStr">
        <is>
          <t>warning</t>
        </is>
      </c>
      <c r="C136" s="5" t="inlineStr">
        <is>
          <t>SOURCE_UNAVAILABLE</t>
        </is>
      </c>
      <c r="D136" s="5" t="inlineStr">
        <is>
          <t>The December 2023 VNI West feedback-loop confirmation notice (VNI-FEEDBACK-2023) was not retrieved; two distinct routes returned HTTP 403 on 2026-09-02.</t>
        </is>
      </c>
      <c r="E136" s="5" t="inlineStr">
        <is>
          <t>The feedback-loop determination is recorded only as AEMO's later narrative.</t>
        </is>
      </c>
      <c r="F136" s="5" t="inlineStr"/>
      <c r="G136" s="5" t="inlineStr">
        <is>
          <t>manifest VNI-FEEDBACK-2023; discovery.csv attempts 1-2</t>
        </is>
      </c>
    </row>
    <row r="137">
      <c r="A137" s="5" t="inlineStr">
        <is>
          <t>VNI West (Victoria)</t>
        </is>
      </c>
      <c r="B137" s="5" t="inlineStr">
        <is>
          <t>warning</t>
        </is>
      </c>
      <c r="C137" s="5" t="inlineStr">
        <is>
          <t>SOURCE_UNAVAILABLE</t>
        </is>
      </c>
      <c r="D137" s="5" t="inlineStr">
        <is>
          <t>The VNI West EES final scoping requirements (VNI-EES-SCOPING) were not retrieved; two distinct routes returned HTTP 403 on 2026-09-02.</t>
        </is>
      </c>
      <c r="E137" s="5" t="inlineStr">
        <is>
          <t>Environmental assessment scope, route corridor detail and any length statement remain unknown.</t>
        </is>
      </c>
      <c r="F137" s="5" t="inlineStr"/>
      <c r="G137" s="5" t="inlineStr">
        <is>
          <t>manifest VNI-EES-SCOPING; discovery.csv attempts 1-2</t>
        </is>
      </c>
    </row>
    <row r="138">
      <c r="A138" s="5" t="inlineStr">
        <is>
          <t>VNI West (Victoria)</t>
        </is>
      </c>
      <c r="B138" s="5" t="inlineStr">
        <is>
          <t>warning</t>
        </is>
      </c>
      <c r="C138" s="5" t="inlineStr">
        <is>
          <t>SOURCE_UNAVAILABLE</t>
        </is>
      </c>
      <c r="D138" s="5" t="inlineStr">
        <is>
          <t>The VicGrid-branded current VNI West project record at vicgrid.com.au (VNI-VICGRID-CURRENT) itself was not retrieved. A related proponent page is now archived: the VNI West project overview at vniwproject.com.au (VNV-VNIW-2026-OVERVIEW) states a preferred 70m-wide easement in Victoria running from Bulgana to near Kerang and across into NSW, a transmission licence granted 17 February 2025, and VicGrid's assumption of AEMO's Victorian planning role in November 2025, but states no route length in km, no capacity figure and no cost.</t>
        </is>
      </c>
      <c r="E138" s="5" t="inlineStr">
        <is>
          <t>Cite VNV-VNIW-2026-OVERVIEW for current proponent status instead of treating this gap as total; VNI-VICGRID-CURRENT specifically, and any route length or cost it might add, remains unverified.</t>
        </is>
      </c>
      <c r="F138" s="5" t="inlineStr">
        <is>
          <t>VNV-VNIW-2026-OVERVIEW</t>
        </is>
      </c>
      <c r="G138" s="5" t="inlineStr">
        <is>
          <t>VNV-VNIW-2026-OVERVIEW web; manifest VNI-VICGRID-CURRENT (unavailable); discovery.csv attempts 1-2</t>
        </is>
      </c>
    </row>
    <row r="139">
      <c r="A139" s="5" t="inlineStr">
        <is>
          <t>Western Renewables Link</t>
        </is>
      </c>
      <c r="B139" s="5" t="inlineStr">
        <is>
          <t>warning</t>
        </is>
      </c>
      <c r="C139" s="5" t="inlineStr">
        <is>
          <t>SOURCE_UNAVAILABLE</t>
        </is>
      </c>
      <c r="D139" s="5" t="inlineStr">
        <is>
          <t>The July 2019 AEMO Western Victoria Renewable Integration RIT-T PACR - the original decision, 600 MW design and original estimate basis - was not acquired after two distinct official routes returned HTTP 403.</t>
        </is>
      </c>
      <c r="E139" s="5" t="inlineStr">
        <is>
          <t>The 600 MW original design and the original cost basis rest on AEMO's later retrospective statements, not on the underlying decision record.</t>
        </is>
      </c>
      <c r="F139" s="5" t="inlineStr"/>
      <c r="G139" s="5" t="inlineStr">
        <is>
          <t>manifest row WRL-AEMO-2019-PACR (status unavailable); discovery WRL-AEMO-2019-PACR attempts 1-2</t>
        </is>
      </c>
    </row>
    <row r="140">
      <c r="A140" s="5" t="inlineStr">
        <is>
          <t>Western Renewables Link</t>
        </is>
      </c>
      <c r="B140" s="5" t="inlineStr">
        <is>
          <t>warning</t>
        </is>
      </c>
      <c r="C140" s="5" t="inlineStr">
        <is>
          <t>SOURCE_UNAVAILABLE</t>
        </is>
      </c>
      <c r="D140" s="5" t="inlineStr">
        <is>
          <t>The VicGrid WRL project record - the current Victorian planning authority's own project and NEVA-related material - was not acquired after two HTTP 403 attempts.</t>
        </is>
      </c>
      <c r="E140" s="5" t="inlineStr">
        <is>
          <t>Post-1-November-2025 ownership, planning status and any VicGrid cost or schedule statement are unverified; AusNet remains the only archived proponent record.</t>
        </is>
      </c>
      <c r="F140" s="5" t="inlineStr"/>
      <c r="G140" s="5" t="inlineStr">
        <is>
          <t>manifest row WRL-VICGRID-PROJECT (status unavailable); discovery WRL-VICGRID-PROJECT attempts 1-2</t>
        </is>
      </c>
    </row>
    <row r="141">
      <c r="A141" s="5" t="inlineStr">
        <is>
          <t>Western Renewables Link</t>
        </is>
      </c>
      <c r="B141" s="5" t="inlineStr">
        <is>
          <t>warning</t>
        </is>
      </c>
      <c r="C141" s="5" t="inlineStr">
        <is>
          <t>SOURCE_UNAVAILABLE</t>
        </is>
      </c>
      <c r="D141" s="5" t="inlineStr">
        <is>
          <t>No Environment Effects Statement, EES panel or Victorian approval record for WRL is archived; the only evidence of the EES process is the AusNet webpage line stating the public hearing concluded on 3 March 2026.</t>
        </is>
      </c>
      <c r="E141" s="5" t="inlineStr">
        <is>
          <t>Route alternatives, approval status and any EES-stated cost or schedule cannot be checked; the hearing outcome is unknown as at the 2026-09-03 cut-off.</t>
        </is>
      </c>
      <c r="F141" s="5" t="inlineStr">
        <is>
          <t>WRL-AUSNET-PROJECT</t>
        </is>
      </c>
      <c r="G141" s="5" t="inlineStr">
        <is>
          <t>WRL-AUSNET-PROJECT derivative line 75; no manifest row exists for an EES record</t>
        </is>
      </c>
    </row>
    <row r="142">
      <c r="A142" s="5" t="inlineStr">
        <is>
          <t>Western Renewables Link</t>
        </is>
      </c>
      <c r="B142" s="5" t="inlineStr">
        <is>
          <t>warning</t>
        </is>
      </c>
      <c r="C142" s="5" t="inlineStr">
        <is>
          <t>SOURCE_UNAVAILABLE</t>
        </is>
      </c>
      <c r="D142" s="5" t="inlineStr">
        <is>
          <t>The AusNet WRL design and construction cost update was not acquired: the design route returned HTTP 404 and the homepage returned HTTP 200 but carried no estimate.</t>
        </is>
      </c>
      <c r="E142" s="5" t="inlineStr">
        <is>
          <t>No proponent cost estimate of any date exists in the archive; the chart's $1.6 billion has no proponent source.</t>
        </is>
      </c>
      <c r="F142" s="5" t="inlineStr"/>
      <c r="G142" s="5" t="inlineStr">
        <is>
          <t>manifest row WRL-AUSNET-ESTIMATE (status unavailable); discovery WRL-AUSNET-ESTIMATE attempts 1-2</t>
        </is>
      </c>
    </row>
    <row r="143">
      <c r="A143" s="6" t="inlineStr">
        <is>
          <t>Western Renewables Link</t>
        </is>
      </c>
      <c r="B143" s="6" t="inlineStr">
        <is>
          <t>blocker</t>
        </is>
      </c>
      <c r="C143" s="6" t="inlineStr">
        <is>
          <t>SHARED_ATTRIBUTION</t>
        </is>
      </c>
      <c r="D143" s="6" t="inlineStr">
        <is>
          <t>Bulgana Terminal Station is a shared WRL / VNI West asset: AEMO 2026 states VNI West will connect at a terminal station near Bulgana to WRL, while the WRL delivery scope contains the new Bulgana 500 kV switchyard, the two 1,000 MVA 500/220 kV transformers and the second 220 kV bus.</t>
        </is>
      </c>
      <c r="E143" s="6" t="inlineStr">
        <is>
          <t>The transformer and hub cells rest on shared plant. No allocation between WRL and VNI West is made or inferable from the archive; do not attribute a share of Bulgana works, or their cost, to either project.</t>
        </is>
      </c>
      <c r="F143" s="6" t="inlineStr">
        <is>
          <t>HUM-AEMO-2026-ISP-A5</t>
        </is>
      </c>
      <c r="G143" s="6" t="inlineStr">
        <is>
          <t>HUM-AEMO-2026-ISP-A5 p25 (WRL scope); p51 (VNI West connects at Bulgana)</t>
        </is>
      </c>
    </row>
    <row r="144">
      <c r="A144" s="5" t="inlineStr">
        <is>
          <t>Western Renewables Link</t>
        </is>
      </c>
      <c r="B144" s="5" t="inlineStr">
        <is>
          <t>warning</t>
        </is>
      </c>
      <c r="C144" s="5" t="inlineStr">
        <is>
          <t>NON_ADDITIVE_BOUNDARIES</t>
        </is>
      </c>
      <c r="D144" s="5" t="inlineStr">
        <is>
          <t>The $315m WRL amount, the $3,499m VNI West quoted cost and the $3,614m VNI West modelling cost are nested and overlapping: the $3,499m is inclusive of the $315m, and the $3,614m is the $3,499m with WRL removed and converted to 2023 dollars.</t>
        </is>
      </c>
      <c r="E144" s="5" t="inlineStr">
        <is>
          <t>Do not add WRL and VNI West amounts, and do not back-solve a WRL cost from the $3,614m modelling figure.</t>
        </is>
      </c>
      <c r="F144" s="5" t="inlineStr">
        <is>
          <t>HUM-AEMO-2024-ISP-A5</t>
        </is>
      </c>
      <c r="G144" s="5" t="inlineStr">
        <is>
          <t>HUM-AEMO-2024-ISP-A5 p45</t>
        </is>
      </c>
    </row>
    <row r="145">
      <c r="A145" s="5" t="inlineStr">
        <is>
          <t>Western Renewables Link</t>
        </is>
      </c>
      <c r="B145" s="5" t="inlineStr">
        <is>
          <t>warning</t>
        </is>
      </c>
      <c r="C145" s="5" t="inlineStr">
        <is>
          <t>NON_COMPARABLE_SERIES</t>
        </is>
      </c>
      <c r="D145" s="5" t="inlineStr">
        <is>
          <t>The capacity figures in the archive measure different things: 600 MW original design, 1,460 MW renewable capacity harnessed, 695 MW additional MEL-WNV network capacity, 310 MW REZ V2, and AusNet's 'more than 3,000MW' carrying capability.</t>
        </is>
      </c>
      <c r="E145" s="5" t="inlineStr">
        <is>
          <t>Do not plot these as one capacity series or treat the chart's 3 GW as the same quantity as AEMO's 1,460 MW.</t>
        </is>
      </c>
      <c r="F145" s="5" t="inlineStr">
        <is>
          <t>HUM-AEMO-2024-ISP-A5; HUM-AEMO-2026-ISP-A5; WRL-AUSNET-PROJECT</t>
        </is>
      </c>
      <c r="G145" s="5" t="inlineStr">
        <is>
          <t>HUM-AEMO-2024-ISP-A5 p19; HUM-AEMO-2026-ISP-A5 pp24-25; WRL-AUSNET-PROJECT derivative line 49</t>
        </is>
      </c>
    </row>
    <row r="146">
      <c r="A146" s="5" t="inlineStr">
        <is>
          <t>Western Renewables Link</t>
        </is>
      </c>
      <c r="B146" s="5" t="inlineStr">
        <is>
          <t>warning</t>
        </is>
      </c>
      <c r="C146" s="5" t="inlineStr">
        <is>
          <t>CONTRADICTION</t>
        </is>
      </c>
      <c r="D146" s="5" t="inlineStr">
        <is>
          <t>AEMO 2024 states expected completion mid-2027 (July 2027 for full capacity after testing); AEMO 2026 states November 2029. The 2024 and 2026 delivery scope tables also differ, the 2026 scope being materially longer. The 2023 s16Y Ministerial Order's reasons independently state the WRL Uprate would enable additional generation capacity in Western Victoria 'by as early as 2027', bounding the likely origin of the 2024 mid-2027 figure; the Order does not state a WRL completion date and does not mention 2029.</t>
        </is>
      </c>
      <c r="E146" s="5" t="inlineStr">
        <is>
          <t>Both versions are preserved. The chart's 2029 date reflects the current representation only; the earlier schedule is not silently overwritten.</t>
        </is>
      </c>
      <c r="F146" s="5" t="inlineStr">
        <is>
          <t>HUM-AEMO-2024-ISP-A5; HUM-AEMO-2026-ISP-A5; VNV-VIC-GAZETTE-2023-S267</t>
        </is>
      </c>
      <c r="G146" s="5" t="inlineStr">
        <is>
          <t>HUM-AEMO-2024-ISP-A5 p19; HUM-AEMO-2026-ISP-A5 pp24-25; VNV-VIC-GAZETTE-2023-S267 p12</t>
        </is>
      </c>
    </row>
    <row r="147">
      <c r="A147" s="5" t="inlineStr">
        <is>
          <t>Western Renewables Link</t>
        </is>
      </c>
      <c r="B147" s="5" t="inlineStr">
        <is>
          <t>warning</t>
        </is>
      </c>
      <c r="C147" s="5" t="inlineStr">
        <is>
          <t>CHART_DERIVATION</t>
        </is>
      </c>
      <c r="D147" s="5" t="inlineStr">
        <is>
          <t>Two chart cells are calculations: millions_per_trunk_km (1,600 / 190) and transformers 2000 MVA (2 x 1,000 MVA). The cost numerator of the first is not supported by any archived source.</t>
        </is>
      </c>
      <c r="E147" s="5" t="inlineStr">
        <is>
          <t>Publish millions_per_trunk_km only with the cost caveat attached; the transformer total is a sum of source-stated per-unit ratings at a shared terminal.</t>
        </is>
      </c>
      <c r="F147" s="5" t="inlineStr">
        <is>
          <t>HUM-AEMO-2026-ISP-A5; WRL-AUSNET-PROJECT</t>
        </is>
      </c>
      <c r="G147" s="5" t="inlineStr">
        <is>
          <t>HUM-AEMO-2026-ISP-A5 p25; WRL-AUSNET-PROJECT derivative line 41</t>
        </is>
      </c>
    </row>
    <row r="148">
      <c r="A148" s="5" t="inlineStr">
        <is>
          <t>Western Renewables Link</t>
        </is>
      </c>
      <c r="B148" s="5" t="inlineStr">
        <is>
          <t>warning</t>
        </is>
      </c>
      <c r="C148" s="5" t="inlineStr">
        <is>
          <t>SCOPE_TRANSFER</t>
        </is>
      </c>
      <c r="D148" s="5" t="inlineStr">
        <is>
          <t>On 1 November 2025 Victorian transmission planning responsibility transferred from AEMO Victorian Planning to VicGrid.</t>
        </is>
      </c>
      <c r="E148" s="5" t="inlineStr">
        <is>
          <t>Post-transfer WRL planning statements would come from VicGrid, whose record is unavailable; AEMO's 2026 representation may not reflect the current Victorian planning position.</t>
        </is>
      </c>
      <c r="F148" s="5" t="inlineStr">
        <is>
          <t>HUM-AEMO-2026-ISP-A5</t>
        </is>
      </c>
      <c r="G148" s="5" t="inlineStr">
        <is>
          <t>HUM-AEMO-2026-ISP-A5 p36</t>
        </is>
      </c>
    </row>
    <row r="149">
      <c r="A149" s="6" t="inlineStr">
        <is>
          <t>Western Renewables Link</t>
        </is>
      </c>
      <c r="B149" s="6" t="inlineStr">
        <is>
          <t>blocker</t>
        </is>
      </c>
      <c r="C149" s="6" t="inlineStr">
        <is>
          <t>OUTTURN_UNKNOWN</t>
        </is>
      </c>
      <c r="D149" s="6" t="inlineStr">
        <is>
          <t>No WRL cost estimate, regulatory allowance, contract or outturn of any date is archived; both AEMO project tables leave the WRL cost column empty.</t>
        </is>
      </c>
      <c r="E149" s="6" t="inlineStr">
        <is>
          <t>The chart's cost and millions-per-km cells cannot be published as sourced figures as they stand.</t>
        </is>
      </c>
      <c r="F149" s="6" t="inlineStr">
        <is>
          <t>HUM-AEMO-2024-ISP-A5; HUM-AEMO-2026-ISP-A5</t>
        </is>
      </c>
      <c r="G149" s="6" t="inlineStr">
        <is>
          <t>HUM-AEMO-2024-ISP-A5 p19; HUM-AEMO-2026-ISP-A5 pp24-25</t>
        </is>
      </c>
    </row>
    <row r="150">
      <c r="A150" s="6" t="inlineStr">
        <is>
          <t>Western Renewables Link</t>
        </is>
      </c>
      <c r="B150" s="6" t="inlineStr">
        <is>
          <t>blocker</t>
        </is>
      </c>
      <c r="C150" s="6" t="inlineStr">
        <is>
          <t>AUTHOR_DECISION_REQUIRED</t>
        </is>
      </c>
      <c r="D150" s="6" t="inlineStr">
        <is>
          <t>The cost cell is recorded as supported_with_boundary against the $315m WRL-within-VNI-West amount rather than as a gap.</t>
        </is>
      </c>
      <c r="E150" s="6" t="inlineStr">
        <is>
          <t>Author must confirm this framing, and confirm that supported_value 315 is read as AUD million on a 2020-21-dollar VNI West-internal basis and never rendered as the chart's $1.6 billion.</t>
        </is>
      </c>
      <c r="F150" s="6" t="inlineStr">
        <is>
          <t>HUM-AEMO-2024-ISP-A5</t>
        </is>
      </c>
      <c r="G150" s="6" t="inlineStr">
        <is>
          <t>HUM-AEMO-2024-ISP-A5 p45</t>
        </is>
      </c>
    </row>
    <row r="151">
      <c r="A151" s="5" t="inlineStr">
        <is>
          <t>Western Renewables Link</t>
        </is>
      </c>
      <c r="B151" s="5" t="inlineStr">
        <is>
          <t>warning</t>
        </is>
      </c>
      <c r="C151" s="5" t="inlineStr">
        <is>
          <t>AUTHOR_DECISION_REQUIRED</t>
        </is>
      </c>
      <c r="D151" s="5" t="inlineStr">
        <is>
          <t>The chart's $1.6 billion cost figure matches no archived WRL or VNI West amount of any date, price basis or boundary. Its magnitude appears to originate from an ASX filing or investor/market disclosure by the newly appointed construction contractor (AGJV, ACCIONA Genus Joint Venture) or a party to it, none of which is archived; the archived AusNet contractor-appointment release (WRL-AUSNET-2025-CONTRACTOR, 12 December 2025) confirms the 190 km route and names the contractor but states no cost figure.</t>
        </is>
      </c>
      <c r="E151" s="5" t="inlineStr">
        <is>
          <t>Author must identify and, if possible, acquire the ASX filing or other primary disclosure this figure may derive from before treating $1.6 billion as sourced; until then it remains unsupported, consistent with the OUTTURN_UNKNOWN blocker below.</t>
        </is>
      </c>
      <c r="F151" s="5" t="inlineStr">
        <is>
          <t>WRL-AUSNET-2025-CONTRACTOR</t>
        </is>
      </c>
      <c r="G151" s="5" t="inlineStr">
        <is>
          <t>WRL-AUSNET-2025-CONTRACTOR (no cost stated on the release); no ASX filing is archived or has a manifest row</t>
        </is>
      </c>
    </row>
    <row r="152">
      <c r="A152" s="5" t="inlineStr">
        <is>
          <t>Western Renewables Link</t>
        </is>
      </c>
      <c r="B152" s="5" t="inlineStr">
        <is>
          <t>warning</t>
        </is>
      </c>
      <c r="C152" s="5" t="inlineStr">
        <is>
          <t>AUTHOR_DECISION_REQUIRED</t>
        </is>
      </c>
      <c r="D152" s="5" t="inlineStr">
        <is>
          <t>The network capacity cell is matched to AusNet's 'more than 3,000MW' capability rather than to AEMO's 1,460 MW harnessed capacity or 695 MW additional network capacity.</t>
        </is>
      </c>
      <c r="E152" s="5" t="inlineStr">
        <is>
          <t>Author must confirm which capacity definition the chart column means across all rows before publishing 3 GW for WRL.</t>
        </is>
      </c>
      <c r="F152" s="5" t="inlineStr">
        <is>
          <t>WRL-AUSNET-PROJECT; HUM-AEMO-2026-ISP-A5</t>
        </is>
      </c>
      <c r="G152" s="5" t="inlineStr">
        <is>
          <t>WRL-AUSNET-PROJECT derivative line 49; HUM-AEMO-2026-ISP-A5 pp24-25</t>
        </is>
      </c>
    </row>
    <row r="153">
      <c r="A153" s="5" t="inlineStr">
        <is>
          <t>Western Renewables Link</t>
        </is>
      </c>
      <c r="B153" s="5" t="inlineStr">
        <is>
          <t>warning</t>
        </is>
      </c>
      <c r="C153" s="5" t="inlineStr">
        <is>
          <t>AUTHOR_DECISION_REQUIRED</t>
        </is>
      </c>
      <c r="D153" s="5" t="inlineStr">
        <is>
          <t>The hubs cell (1) and the syncons cell (0) are author positions: no source counts hubs, and no source states a synchronous condenser count or its absence.</t>
        </is>
      </c>
      <c r="E153" s="5" t="inlineStr">
        <is>
          <t>Author must fix a hub definition (Bulgana, Sydenham, Elaine and, per the 2023 s16Y Ministerial Order's Schedule 2, Ballarat Terminal Station all receive WRL terminal works, and Bulgana is shared with VNI West) and confirm whether an unenumerated syncon should read 0 or blank.</t>
        </is>
      </c>
      <c r="F153" s="5" t="inlineStr">
        <is>
          <t>HUM-AEMO-2026-ISP-A5; VNV-VIC-GAZETTE-2023-S267</t>
        </is>
      </c>
      <c r="G153" s="5" t="inlineStr">
        <is>
          <t>HUM-AEMO-2026-ISP-A5 pp24-25; VNV-VIC-GAZETTE-2023-S267 p8</t>
        </is>
      </c>
    </row>
    <row r="154">
      <c r="A154" s="5" t="inlineStr">
        <is>
          <t>Western Renewables Link</t>
        </is>
      </c>
      <c r="B154" s="5" t="inlineStr">
        <is>
          <t>warning</t>
        </is>
      </c>
      <c r="C154" s="5" t="inlineStr">
        <is>
          <t>MONITOR_LATER</t>
        </is>
      </c>
      <c r="D154" s="5" t="inlineStr">
        <is>
          <t>The WRL EES public hearing concluded 3 March 2026 with no archived outcome, and VicGrid has held Victorian planning responsibility since 1 November 2025.</t>
        </is>
      </c>
      <c r="E154" s="5" t="inlineStr">
        <is>
          <t>Re-check the EES/panel outcome, any Victorian approval, and VicGrid's WRL record after the 2026-09-03 cut-off; a cost estimate is most likely to appear there.</t>
        </is>
      </c>
      <c r="F154" s="5" t="inlineStr">
        <is>
          <t>WRL-AUSNET-PROJECT; HUM-AEMO-2026-ISP-A5</t>
        </is>
      </c>
      <c r="G154" s="5" t="inlineStr">
        <is>
          <t>WRL-AUSNET-PROJECT derivative line 75; HUM-AEMO-2026-ISP-A5 p36</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Australian Transmission Evidence System</dc:creator>
  <dc:title>Australian transmission evidence workbook</dc:title>
  <dc:subject>Policy Paper Chart reconciled against archived, hash-verified sources</dc:subject>
  <dcterms:created xsi:type="dcterms:W3CDTF">2026-09-03T00:00:00Z</dcterms:created>
  <dcterms:modified xsi:type="dcterms:W3CDTF">2026-09-03T00:00:00Z</dcterms:modified>
</cp:coreProperties>
</file>